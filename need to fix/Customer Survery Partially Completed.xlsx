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tro" sheetId="1" state="visible" r:id="rId1"/>
    <sheet name="S&amp;E" sheetId="2" state="visible" r:id="rId2"/>
    <sheet name="Pool 1 Successful Delivery" sheetId="3" state="visible" r:id="rId3"/>
    <sheet name="Pool 2 Failed Delivery" sheetId="4" state="visible" r:id="rId4"/>
    <sheet name="Pool 3 Return Pickup" sheetId="5" state="visible" r:id="rId5"/>
    <sheet name="Analysis" sheetId="6" state="visible" r:id="rId6"/>
  </sheets>
  <definedNames>
    <definedName name="Z_D9557AF2_C083_4FC9_925C_67B23CA38C10_.wvu.FilterData" localSheetId="2" hidden="1">'Pool 1 Successful Delivery'!$D$4:$X$283</definedName>
    <definedName name="Z_2729B9FD_FA3B_4C7B_85F4_82C24DFDEE32_.wvu.FilterData" localSheetId="2" hidden="1">'Pool 1 Successful Delivery'!$D$4:$X$283</definedName>
    <definedName name="Z_B80E347C_6F1D_4184_A185_29CA2DDF0887_.wvu.FilterData" localSheetId="2" hidden="1">'Pool 1 Successful Delivery'!$D$1:$X$283</definedName>
    <definedName name="Z_E6A2FDF8_D40E_4E28_ACC1_6A10AC09D83E_.wvu.FilterData" localSheetId="2" hidden="1">'Pool 1 Successful Delivery'!$D$1:$X$283</definedName>
    <definedName name="_xlnm._FilterDatabase" localSheetId="2" hidden="1">'Pool 1 Successful Delivery'!$D$1:$X$283</definedName>
    <definedName name="Z_D9557AF2_C083_4FC9_925C_67B23CA38C10_.wvu.FilterData" localSheetId="3" hidden="1">'Pool 2 Failed Delivery'!$B$4:$X$270</definedName>
    <definedName name="Z_2729B9FD_FA3B_4C7B_85F4_82C24DFDEE32_.wvu.FilterData" localSheetId="3" hidden="1">'Pool 2 Failed Delivery'!$B$4:$X$270</definedName>
    <definedName name="Z_B80E347C_6F1D_4184_A185_29CA2DDF0887_.wvu.FilterData" localSheetId="3" hidden="1">'Pool 2 Failed Delivery'!$B$1:$X$270</definedName>
    <definedName name="Z_E6A2FDF8_D40E_4E28_ACC1_6A10AC09D83E_.wvu.FilterData" localSheetId="3" hidden="1">'Pool 2 Failed Delivery'!$B$1:$X$270</definedName>
    <definedName name="_xlnm._FilterDatabase" localSheetId="3" hidden="1">'Pool 2 Failed Delivery'!$B$1:$X$270</definedName>
    <definedName name="Z_D9557AF2_C083_4FC9_925C_67B23CA38C10_.wvu.FilterData" localSheetId="4" hidden="1">'Pool 3 Return Pickup'!$D$4:$X$98</definedName>
    <definedName name="Z_2729B9FD_FA3B_4C7B_85F4_82C24DFDEE32_.wvu.FilterData" localSheetId="4" hidden="1">'Pool 3 Return Pickup'!$D$4:$X$98</definedName>
    <definedName name="Z_B80E347C_6F1D_4184_A185_29CA2DDF0887_.wvu.FilterData" localSheetId="4" hidden="1">'Pool 3 Return Pickup'!$D$1:$X$98</definedName>
    <definedName name="Z_E6A2FDF8_D40E_4E28_ACC1_6A10AC09D83E_.wvu.FilterData" localSheetId="4" hidden="1">'Pool 3 Return Pickup'!$D$1:$X$98</definedName>
    <definedName name="_xlnm._FilterDatabase" localSheetId="4" hidden="1">'Pool 3 Return Pickup'!$D$4:$X$98</definedName>
  </definedNames>
  <calcPr calcId="124519" fullCalcOnLoad="1"/>
</workbook>
</file>

<file path=xl/styles.xml><?xml version="1.0" encoding="utf-8"?>
<styleSheet xmlns="http://schemas.openxmlformats.org/spreadsheetml/2006/main">
  <numFmts count="2">
    <numFmt numFmtId="164" formatCode="#,##0.##"/>
    <numFmt numFmtId="165" formatCode="M/d/yyyy"/>
  </numFmts>
  <fonts count="18">
    <font>
      <name val="Arial"/>
      <color rgb="FF000000"/>
      <sz val="10"/>
      <scheme val="minor"/>
    </font>
    <font>
      <name val="Arial"/>
      <b val="1"/>
      <color theme="1"/>
      <sz val="12"/>
      <scheme val="minor"/>
    </font>
    <font>
      <name val="Arial"/>
      <color theme="1"/>
      <scheme val="minor"/>
    </font>
    <font>
      <name val="Calibri"/>
      <b val="1"/>
      <color theme="1"/>
      <sz val="14"/>
    </font>
    <font>
      <name val="Arial"/>
      <color theme="1"/>
    </font>
    <font>
      <name val="Calibri"/>
      <b val="1"/>
      <i val="1"/>
      <color rgb="FF0000FF"/>
      <sz val="11"/>
      <u val="single"/>
    </font>
    <font>
      <name val="Calibri"/>
      <b val="1"/>
      <color rgb="FF70AD47"/>
      <sz val="11"/>
    </font>
    <font>
      <name val="Calibri"/>
      <b val="1"/>
      <color theme="1"/>
      <sz val="11"/>
    </font>
    <font>
      <name val="Calibri"/>
      <color theme="1"/>
      <sz val="11"/>
    </font>
    <font/>
    <font>
      <name val="Arial"/>
      <b val="1"/>
      <color theme="1"/>
      <scheme val="minor"/>
    </font>
    <font>
      <name val="Calibri"/>
      <b val="1"/>
      <color rgb="FFFFFFFF"/>
      <sz val="10"/>
    </font>
    <font>
      <name val="Calibri"/>
      <color rgb="FFFFFFFF"/>
      <sz val="10"/>
    </font>
    <font>
      <name val="Calibri"/>
      <b val="1"/>
      <color rgb="FFFFFFFF"/>
      <sz val="12"/>
    </font>
    <font>
      <name val="Calibri"/>
      <b val="1"/>
      <i val="1"/>
      <color rgb="FFFFFFFF"/>
      <sz val="10"/>
    </font>
    <font>
      <name val="Calibri"/>
      <i val="1"/>
      <color rgb="FFFFFFFF"/>
      <sz val="10"/>
    </font>
    <font>
      <name val="&quot;Google Sans&quot;"/>
      <color rgb="FF1F1F1F"/>
      <sz val="9"/>
    </font>
    <font>
      <name val="Arial"/>
      <color rgb="FF000000"/>
    </font>
  </fonts>
  <fills count="11">
    <fill>
      <patternFill/>
    </fill>
    <fill>
      <patternFill patternType="lightGray"/>
    </fill>
    <fill>
      <patternFill patternType="solid">
        <fgColor rgb="FFB7B7B7"/>
        <bgColor rgb="FFB7B7B7"/>
      </patternFill>
    </fill>
    <fill>
      <patternFill patternType="solid">
        <fgColor rgb="FFFF9900"/>
        <bgColor rgb="FFFF9900"/>
      </patternFill>
    </fill>
    <fill>
      <patternFill patternType="solid">
        <fgColor rgb="FF9FC5E8"/>
        <bgColor rgb="FF9FC5E8"/>
      </patternFill>
    </fill>
    <fill>
      <patternFill patternType="solid">
        <fgColor rgb="FFB4A7D6"/>
        <bgColor rgb="FFB4A7D6"/>
      </patternFill>
    </fill>
    <fill>
      <patternFill patternType="solid">
        <fgColor rgb="FFF9CB9C"/>
        <bgColor rgb="FFF9CB9C"/>
      </patternFill>
    </fill>
    <fill>
      <patternFill patternType="solid">
        <fgColor rgb="FF999999"/>
        <bgColor rgb="FF999999"/>
      </patternFill>
    </fill>
    <fill>
      <patternFill patternType="solid">
        <fgColor rgb="FF434343"/>
        <bgColor rgb="FF434343"/>
      </patternFill>
    </fill>
    <fill>
      <patternFill patternType="solid">
        <fgColor rgb="FFFFD966"/>
        <bgColor rgb="FFFFD966"/>
      </patternFill>
    </fill>
    <fill>
      <patternFill patternType="solid">
        <fgColor rgb="FFFFFFFF"/>
        <bgColor rgb="FFFFFFFF"/>
      </patternFill>
    </fill>
  </fills>
  <borders count="21">
    <border/>
    <border>
      <top style="thin">
        <color rgb="FFFFFFFF"/>
      </top>
      <bottom style="thin">
        <color rgb="FFFFFFFF"/>
      </bottom>
    </border>
    <border>
      <right style="thin">
        <color rgb="FFFFFFFF"/>
      </right>
      <top style="thin">
        <color rgb="FFFFFFFF"/>
      </top>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ttom style="thin">
        <color rgb="FFFFFFFF"/>
      </bottom>
    </border>
    <border>
      <right style="thin">
        <color rgb="FFFFFFFF"/>
      </right>
      <bottom style="thin">
        <color rgb="FF000000"/>
      </bottom>
    </border>
    <border>
      <right style="thin">
        <color rgb="FFFFFFFF"/>
      </right>
    </border>
    <border>
      <left style="thin">
        <color rgb="FFFFFFFF"/>
      </left>
      <bottom style="thin">
        <color rgb="FFFFFFFF"/>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CED4DA"/>
      </top>
      <bottom style="thin">
        <color rgb="FFCED4DA"/>
      </bottom>
    </border>
    <border>
      <top style="thin">
        <color rgb="FF000000"/>
      </top>
    </border>
    <border>
      <right style="thin">
        <color rgb="FF000000"/>
      </right>
      <top style="thin">
        <color rgb="FF000000"/>
      </top>
    </border>
    <border>
      <left style="thin">
        <color rgb="FF000000"/>
      </left>
    </border>
  </borders>
  <cellStyleXfs count="1">
    <xf numFmtId="0" fontId="0" fillId="0" borderId="0"/>
  </cellStyleXfs>
  <cellXfs count="92">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wrapText="1"/>
    </xf>
    <xf numFmtId="0" fontId="2" fillId="0" borderId="0" applyAlignment="1" pivotButton="0" quotePrefix="0" xfId="0">
      <alignment horizontal="left" vertical="center"/>
    </xf>
    <xf numFmtId="0" fontId="3" fillId="0" borderId="1" applyAlignment="1" pivotButton="0" quotePrefix="0" xfId="0">
      <alignment vertical="bottom"/>
    </xf>
    <xf numFmtId="0" fontId="4" fillId="0" borderId="1" applyAlignment="1" pivotButton="0" quotePrefix="0" xfId="0">
      <alignment vertical="bottom"/>
    </xf>
    <xf numFmtId="0" fontId="4" fillId="0" borderId="2" applyAlignment="1" pivotButton="0" quotePrefix="0" xfId="0">
      <alignment vertical="bottom"/>
    </xf>
    <xf numFmtId="0" fontId="5" fillId="0" borderId="3" applyAlignment="1" pivotButton="0" quotePrefix="0" xfId="0">
      <alignment vertical="bottom"/>
    </xf>
    <xf numFmtId="0" fontId="4" fillId="0" borderId="4" applyAlignment="1" pivotButton="0" quotePrefix="0" xfId="0">
      <alignment vertical="bottom"/>
    </xf>
    <xf numFmtId="0" fontId="4" fillId="0" borderId="5" applyAlignment="1" pivotButton="0" quotePrefix="0" xfId="0">
      <alignment vertical="bottom"/>
    </xf>
    <xf numFmtId="0" fontId="6" fillId="0" borderId="5" applyAlignment="1" pivotButton="0" quotePrefix="0" xfId="0">
      <alignment vertical="bottom"/>
    </xf>
    <xf numFmtId="0" fontId="4" fillId="0" borderId="4" applyAlignment="1" pivotButton="0" quotePrefix="0" xfId="0">
      <alignment vertical="bottom"/>
    </xf>
    <xf numFmtId="0" fontId="7" fillId="0" borderId="6" applyAlignment="1" pivotButton="0" quotePrefix="0" xfId="0">
      <alignment vertical="bottom"/>
    </xf>
    <xf numFmtId="0" fontId="4" fillId="0" borderId="6" applyAlignment="1" pivotButton="0" quotePrefix="0" xfId="0">
      <alignment vertical="bottom"/>
    </xf>
    <xf numFmtId="0" fontId="4" fillId="0" borderId="7" applyAlignment="1" pivotButton="0" quotePrefix="0" xfId="0">
      <alignment vertical="bottom"/>
    </xf>
    <xf numFmtId="0" fontId="8" fillId="0" borderId="8" applyAlignment="1" pivotButton="0" quotePrefix="0" xfId="0">
      <alignment vertical="bottom" wrapText="1"/>
    </xf>
    <xf numFmtId="0" fontId="9" fillId="0" borderId="3" pivotButton="0" quotePrefix="0" xfId="0"/>
    <xf numFmtId="0" fontId="8" fillId="0" borderId="3" applyAlignment="1" pivotButton="0" quotePrefix="0" xfId="0">
      <alignment vertical="bottom"/>
    </xf>
    <xf numFmtId="0" fontId="8" fillId="0" borderId="4" applyAlignment="1" pivotButton="0" quotePrefix="0" xfId="0">
      <alignment vertical="bottom"/>
    </xf>
    <xf numFmtId="0" fontId="8" fillId="0" borderId="8" applyAlignment="1" pivotButton="0" quotePrefix="0" xfId="0">
      <alignment vertical="bottom"/>
    </xf>
    <xf numFmtId="0" fontId="4" fillId="0" borderId="5" applyAlignment="1" pivotButton="0" quotePrefix="0" xfId="0">
      <alignment vertical="bottom"/>
    </xf>
    <xf numFmtId="0" fontId="7" fillId="0" borderId="9" applyAlignment="1" pivotButton="0" quotePrefix="0" xfId="0">
      <alignment vertical="bottom"/>
    </xf>
    <xf numFmtId="0" fontId="8" fillId="0" borderId="3" applyAlignment="1" pivotButton="0" quotePrefix="0" xfId="0">
      <alignment vertical="bottom"/>
    </xf>
    <xf numFmtId="0" fontId="4" fillId="0" borderId="3" applyAlignment="1" pivotButton="0" quotePrefix="0" xfId="0">
      <alignment vertical="bottom"/>
    </xf>
    <xf numFmtId="0" fontId="7" fillId="0" borderId="0" applyAlignment="1" pivotButton="0" quotePrefix="0" xfId="0">
      <alignment vertical="bottom"/>
    </xf>
    <xf numFmtId="0" fontId="4" fillId="0" borderId="10" applyAlignment="1" pivotButton="0" quotePrefix="0" xfId="0">
      <alignment horizontal="center"/>
    </xf>
    <xf numFmtId="0" fontId="4" fillId="0" borderId="10" applyAlignment="1" pivotButton="0" quotePrefix="0" xfId="0">
      <alignment vertical="bottom"/>
    </xf>
    <xf numFmtId="0" fontId="8" fillId="0" borderId="0" applyAlignment="1" pivotButton="0" quotePrefix="0" xfId="0">
      <alignment horizontal="right" vertical="bottom"/>
    </xf>
    <xf numFmtId="0" fontId="8" fillId="0" borderId="10" applyAlignment="1" pivotButton="0" quotePrefix="0" xfId="0">
      <alignment horizontal="center" vertical="bottom"/>
    </xf>
    <xf numFmtId="0" fontId="7" fillId="0" borderId="0" applyAlignment="1" pivotButton="0" quotePrefix="0" xfId="0">
      <alignment horizontal="right" vertical="bottom"/>
    </xf>
    <xf numFmtId="0" fontId="7" fillId="0" borderId="10" applyAlignment="1" pivotButton="0" quotePrefix="0" xfId="0">
      <alignment horizontal="center" vertical="bottom"/>
    </xf>
    <xf numFmtId="0" fontId="7" fillId="0" borderId="3" applyAlignment="1" pivotButton="0" quotePrefix="0" xfId="0">
      <alignment vertical="bottom"/>
    </xf>
    <xf numFmtId="0" fontId="2" fillId="0" borderId="10" applyAlignment="1" pivotButton="0" quotePrefix="0" xfId="0">
      <alignment horizontal="left" vertical="center"/>
    </xf>
    <xf numFmtId="0" fontId="2" fillId="0" borderId="11" applyAlignment="1" pivotButton="0" quotePrefix="0" xfId="0">
      <alignment horizontal="left" vertical="center"/>
    </xf>
    <xf numFmtId="0" fontId="9" fillId="0" borderId="12" pivotButton="0" quotePrefix="0" xfId="0"/>
    <xf numFmtId="0" fontId="9" fillId="0" borderId="13" pivotButton="0" quotePrefix="0" xfId="0"/>
    <xf numFmtId="0" fontId="10" fillId="0" borderId="14" applyAlignment="1" pivotButton="0" quotePrefix="0" xfId="0">
      <alignment horizontal="left" vertical="center"/>
    </xf>
    <xf numFmtId="0" fontId="9" fillId="0" borderId="15" pivotButton="0" quotePrefix="0" xfId="0"/>
    <xf numFmtId="0" fontId="9" fillId="0" borderId="16" pivotButton="0" quotePrefix="0" xfId="0"/>
    <xf numFmtId="0" fontId="2" fillId="0" borderId="10" pivotButton="0" quotePrefix="0" xfId="0"/>
    <xf numFmtId="0" fontId="11" fillId="2" borderId="0" applyAlignment="1" pivotButton="0" quotePrefix="0" xfId="0">
      <alignment horizontal="center" vertical="center"/>
    </xf>
    <xf numFmtId="0" fontId="11" fillId="2" borderId="0" applyAlignment="1" pivotButton="0" quotePrefix="0" xfId="0">
      <alignment horizontal="center" vertical="center"/>
    </xf>
    <xf numFmtId="0" fontId="11" fillId="3" borderId="0" applyAlignment="1" pivotButton="0" quotePrefix="0" xfId="0">
      <alignment horizontal="center" vertical="center"/>
    </xf>
    <xf numFmtId="0" fontId="11" fillId="4" borderId="0" applyAlignment="1" pivotButton="0" quotePrefix="0" xfId="0">
      <alignment horizontal="center" vertical="center"/>
    </xf>
    <xf numFmtId="0" fontId="11" fillId="5" borderId="0" applyAlignment="1" pivotButton="0" quotePrefix="0" xfId="0">
      <alignment horizontal="center" vertical="center"/>
    </xf>
    <xf numFmtId="0" fontId="11" fillId="6" borderId="0" applyAlignment="1" pivotButton="0" quotePrefix="0" xfId="0">
      <alignment horizontal="center" vertical="center"/>
    </xf>
    <xf numFmtId="0" fontId="12" fillId="7" borderId="0" applyAlignment="1" pivotButton="0" quotePrefix="0" xfId="0">
      <alignment vertical="center" wrapText="1"/>
    </xf>
    <xf numFmtId="0" fontId="12" fillId="7" borderId="0" applyAlignment="1" pivotButton="0" quotePrefix="0" xfId="0">
      <alignment horizontal="center" vertical="center" wrapText="1"/>
    </xf>
    <xf numFmtId="0" fontId="13" fillId="7" borderId="0" applyAlignment="1" pivotButton="0" quotePrefix="0" xfId="0">
      <alignment vertical="center" wrapText="1"/>
    </xf>
    <xf numFmtId="0" fontId="11" fillId="7" borderId="0" applyAlignment="1" pivotButton="0" quotePrefix="0" xfId="0">
      <alignment vertical="center" wrapText="1"/>
    </xf>
    <xf numFmtId="0" fontId="12" fillId="7" borderId="0" applyAlignment="1" pivotButton="0" quotePrefix="0" xfId="0">
      <alignment vertical="center" wrapText="1"/>
    </xf>
    <xf numFmtId="0" fontId="14" fillId="8" borderId="0" applyAlignment="1" pivotButton="0" quotePrefix="0" xfId="0">
      <alignment vertical="center"/>
    </xf>
    <xf numFmtId="0" fontId="14" fillId="8" borderId="0" applyAlignment="1" pivotButton="0" quotePrefix="0" xfId="0">
      <alignment horizontal="left" vertical="center"/>
    </xf>
    <xf numFmtId="0" fontId="14" fillId="8" borderId="0" applyAlignment="1" pivotButton="0" quotePrefix="0" xfId="0">
      <alignment horizontal="center" vertical="center"/>
    </xf>
    <xf numFmtId="0" fontId="15" fillId="8" borderId="0" applyAlignment="1" pivotButton="0" quotePrefix="0" xfId="0">
      <alignment vertical="center"/>
    </xf>
    <xf numFmtId="0" fontId="8" fillId="0" borderId="0" applyAlignment="1" pivotButton="0" quotePrefix="0" xfId="0">
      <alignment vertical="bottom"/>
    </xf>
    <xf numFmtId="0" fontId="8" fillId="0" borderId="0" applyAlignment="1" pivotButton="0" quotePrefix="0" xfId="0">
      <alignment horizontal="right" vertical="bottom"/>
    </xf>
    <xf numFmtId="14" fontId="8" fillId="0" borderId="0" applyAlignment="1" pivotButton="0" quotePrefix="0" xfId="0">
      <alignment vertical="bottom"/>
    </xf>
    <xf numFmtId="0" fontId="8" fillId="0" borderId="0" applyAlignment="1" pivotButton="0" quotePrefix="0" xfId="0">
      <alignment vertical="bottom"/>
    </xf>
    <xf numFmtId="3" fontId="8" fillId="0" borderId="0" applyAlignment="1" pivotButton="0" quotePrefix="0" xfId="0">
      <alignment horizontal="right" vertical="bottom"/>
    </xf>
    <xf numFmtId="164" fontId="8" fillId="0" borderId="0" applyAlignment="1" pivotButton="0" quotePrefix="0" xfId="0">
      <alignment vertical="bottom"/>
    </xf>
    <xf numFmtId="0" fontId="8" fillId="0" borderId="0" applyAlignment="1" pivotButton="0" quotePrefix="0" xfId="0">
      <alignment horizontal="right" vertical="bottom"/>
    </xf>
    <xf numFmtId="0" fontId="8" fillId="0" borderId="0" applyAlignment="1" pivotButton="0" quotePrefix="0" xfId="0">
      <alignment vertical="bottom"/>
    </xf>
    <xf numFmtId="0" fontId="2" fillId="0" borderId="0" applyAlignment="1" pivotButton="0" quotePrefix="0" xfId="0">
      <alignment vertical="center"/>
    </xf>
    <xf numFmtId="165" fontId="8" fillId="0" borderId="0" applyAlignment="1" pivotButton="0" quotePrefix="0" xfId="0">
      <alignment vertical="bottom"/>
    </xf>
    <xf numFmtId="3" fontId="8" fillId="0" borderId="0" applyAlignment="1" pivotButton="0" quotePrefix="0" xfId="0">
      <alignment vertical="bottom"/>
    </xf>
    <xf numFmtId="0" fontId="8" fillId="9" borderId="0" applyAlignment="1" pivotButton="0" quotePrefix="0" xfId="0">
      <alignment vertical="bottom"/>
    </xf>
    <xf numFmtId="0" fontId="16" fillId="0" borderId="0" applyAlignment="1" pivotButton="0" quotePrefix="0" xfId="0">
      <alignment vertical="center"/>
    </xf>
    <xf numFmtId="0" fontId="17" fillId="0" borderId="0" applyAlignment="1" pivotButton="0" quotePrefix="0" xfId="0">
      <alignment horizontal="left" vertical="center"/>
    </xf>
    <xf numFmtId="0" fontId="17" fillId="10" borderId="0" applyAlignment="1" pivotButton="0" quotePrefix="0" xfId="0">
      <alignment horizontal="left" vertical="center"/>
    </xf>
    <xf numFmtId="0" fontId="4" fillId="0" borderId="0" applyAlignment="1" pivotButton="0" quotePrefix="0" xfId="0">
      <alignment vertical="bottom"/>
    </xf>
    <xf numFmtId="0" fontId="4" fillId="0" borderId="0" applyAlignment="1" pivotButton="0" quotePrefix="0" xfId="0">
      <alignment horizontal="right" vertical="bottom"/>
    </xf>
    <xf numFmtId="0" fontId="4" fillId="0" borderId="0" applyAlignment="1" pivotButton="0" quotePrefix="0" xfId="0">
      <alignment vertical="bottom"/>
    </xf>
    <xf numFmtId="165" fontId="4" fillId="0" borderId="0" applyAlignment="1" pivotButton="0" quotePrefix="0" xfId="0">
      <alignment vertical="bottom"/>
    </xf>
    <xf numFmtId="0" fontId="4" fillId="0" borderId="0" applyAlignment="1" pivotButton="0" quotePrefix="0" xfId="0">
      <alignment horizontal="right" vertical="bottom"/>
    </xf>
    <xf numFmtId="0" fontId="4" fillId="0" borderId="0" applyAlignment="1" pivotButton="0" quotePrefix="0" xfId="0">
      <alignment vertical="bottom"/>
    </xf>
    <xf numFmtId="1" fontId="8" fillId="0" borderId="0" applyAlignment="1" pivotButton="0" quotePrefix="0" xfId="0">
      <alignment vertical="bottom"/>
    </xf>
    <xf numFmtId="1" fontId="8" fillId="0" borderId="0" applyAlignment="1" pivotButton="0" quotePrefix="0" xfId="0">
      <alignment horizontal="right" vertical="bottom"/>
    </xf>
    <xf numFmtId="0" fontId="2" fillId="0" borderId="0" applyAlignment="1" pivotButton="0" quotePrefix="0" xfId="0">
      <alignment vertical="center"/>
    </xf>
    <xf numFmtId="0" fontId="2" fillId="0" borderId="0" pivotButton="0" quotePrefix="0" xfId="0"/>
    <xf numFmtId="0" fontId="10" fillId="0" borderId="0" pivotButton="0" quotePrefix="0" xfId="0"/>
    <xf numFmtId="1" fontId="4" fillId="0" borderId="0" applyAlignment="1" pivotButton="0" quotePrefix="0" xfId="0">
      <alignment vertical="bottom"/>
    </xf>
    <xf numFmtId="0" fontId="4" fillId="10" borderId="0" applyAlignment="1" pivotButton="0" quotePrefix="0" xfId="0">
      <alignment vertical="bottom"/>
    </xf>
    <xf numFmtId="0" fontId="4" fillId="0" borderId="17" applyAlignment="1" pivotButton="0" quotePrefix="0" xfId="0">
      <alignment vertical="bottom"/>
    </xf>
    <xf numFmtId="0" fontId="0" fillId="0" borderId="0" pivotButton="0" quotePrefix="0" xfId="0"/>
    <xf numFmtId="0" fontId="0" fillId="0" borderId="3" pivotButton="0" quotePrefix="0" xfId="0"/>
    <xf numFmtId="0" fontId="0" fillId="0" borderId="12" pivotButton="0" quotePrefix="0" xfId="0"/>
    <xf numFmtId="0" fontId="0" fillId="0" borderId="13" pivotButton="0" quotePrefix="0" xfId="0"/>
    <xf numFmtId="0" fontId="10" fillId="0" borderId="10" applyAlignment="1" pivotButton="0" quotePrefix="0" xfId="0">
      <alignment horizontal="left" vertical="center"/>
    </xf>
    <xf numFmtId="0" fontId="0" fillId="0" borderId="15" pivotButton="0" quotePrefix="0" xfId="0"/>
    <xf numFmtId="0" fontId="0" fillId="0" borderId="1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fVOVoZLsXSbjqLvkG_69bfcwEtRXE4XFIWsJ0FCSZ0g/edit?usp=sharing" TargetMode="External" Id="rId1" /><Relationship Type="http://schemas.openxmlformats.org/officeDocument/2006/relationships/hyperlink" Target="https://docs.google.com/document/d/1imWmDI2xl-URahHWE3818NhCVrkDlrfOqoMTBFoGLUU/edit?usp=sharing" TargetMode="External" Id="rId2" /></Relationships>
</file>

<file path=xl/worksheets/sheet1.xml><?xml version="1.0" encoding="utf-8"?>
<worksheet xmlns="http://schemas.openxmlformats.org/spreadsheetml/2006/main">
  <sheetPr>
    <outlinePr summaryBelow="0" summaryRight="0"/>
    <pageSetUpPr/>
  </sheetPr>
  <dimension ref="A1:Y36"/>
  <sheetViews>
    <sheetView showGridLines="0" workbookViewId="0">
      <selection activeCell="A1" sqref="A1"/>
    </sheetView>
  </sheetViews>
  <sheetFormatPr baseColWidth="8" defaultColWidth="12.63" defaultRowHeight="15.75" customHeight="1"/>
  <cols>
    <col width="54.25" customWidth="1" style="85" min="1" max="1"/>
    <col width="17.63" customWidth="1" style="85" min="3" max="3"/>
  </cols>
  <sheetData>
    <row r="1">
      <c r="A1" s="1" t="inlineStr">
        <is>
          <t>Objective</t>
        </is>
      </c>
      <c r="B1" s="79" t="n"/>
      <c r="C1" s="79" t="n"/>
      <c r="D1" s="79" t="n"/>
      <c r="E1" s="79" t="n"/>
      <c r="F1" s="79" t="n"/>
      <c r="G1" s="79" t="n"/>
      <c r="H1" s="79" t="n"/>
      <c r="I1" s="79" t="n"/>
      <c r="J1" s="79" t="n"/>
      <c r="K1" s="79" t="n"/>
      <c r="L1" s="79" t="n"/>
      <c r="M1" s="79" t="n"/>
      <c r="N1" s="79" t="n"/>
      <c r="O1" s="79" t="n"/>
      <c r="P1" s="79" t="n"/>
      <c r="Q1" s="79" t="n"/>
      <c r="R1" s="79" t="n"/>
      <c r="S1" s="79" t="n"/>
      <c r="T1" s="79" t="n"/>
      <c r="U1" s="79" t="n"/>
      <c r="V1" s="79" t="n"/>
      <c r="W1" s="79" t="n"/>
      <c r="X1" s="79" t="n"/>
      <c r="Y1" s="79" t="n"/>
    </row>
    <row r="2">
      <c r="A2" s="3" t="inlineStr">
        <is>
          <t>To collect structured customer feedback on logistics via phone calls, focusing on agent behavior, pickup timing, packaging, and overall experience, using the provided Excel tracker.</t>
        </is>
      </c>
      <c r="F2" s="79" t="n"/>
      <c r="G2" s="79" t="n"/>
      <c r="H2" s="79" t="n"/>
      <c r="I2" s="79" t="n"/>
      <c r="J2" s="79" t="n"/>
      <c r="K2" s="79" t="n"/>
      <c r="L2" s="79" t="n"/>
      <c r="M2" s="79" t="n"/>
      <c r="N2" s="79" t="n"/>
      <c r="O2" s="79" t="n"/>
      <c r="P2" s="79" t="n"/>
      <c r="Q2" s="79" t="n"/>
      <c r="R2" s="79" t="n"/>
      <c r="S2" s="79" t="n"/>
      <c r="T2" s="79" t="n"/>
      <c r="U2" s="79" t="n"/>
      <c r="V2" s="79" t="n"/>
      <c r="W2" s="79" t="n"/>
      <c r="X2" s="79" t="n"/>
      <c r="Y2" s="79" t="n"/>
    </row>
    <row r="3">
      <c r="F3" s="79" t="n"/>
      <c r="G3" s="79" t="n"/>
      <c r="H3" s="79" t="n"/>
      <c r="I3" s="79" t="n"/>
      <c r="J3" s="79" t="n"/>
      <c r="K3" s="79" t="n"/>
      <c r="L3" s="79" t="n"/>
      <c r="M3" s="79" t="n"/>
      <c r="N3" s="79" t="n"/>
      <c r="O3" s="79" t="n"/>
      <c r="P3" s="79" t="n"/>
      <c r="Q3" s="79" t="n"/>
      <c r="R3" s="79" t="n"/>
      <c r="S3" s="79" t="n"/>
      <c r="T3" s="79" t="n"/>
      <c r="U3" s="79" t="n"/>
      <c r="V3" s="79" t="n"/>
      <c r="W3" s="79" t="n"/>
      <c r="X3" s="79" t="n"/>
      <c r="Y3" s="79" t="n"/>
    </row>
    <row r="4">
      <c r="A4" s="4" t="n"/>
      <c r="B4" s="79" t="n"/>
      <c r="C4" s="79" t="n"/>
      <c r="D4" s="79" t="n"/>
      <c r="E4" s="79" t="n"/>
      <c r="F4" s="79" t="n"/>
      <c r="G4" s="79" t="n"/>
      <c r="H4" s="79" t="n"/>
      <c r="I4" s="79" t="n"/>
      <c r="J4" s="79" t="n"/>
      <c r="K4" s="79" t="n"/>
      <c r="L4" s="79" t="n"/>
      <c r="M4" s="79" t="n"/>
      <c r="N4" s="79" t="n"/>
      <c r="O4" s="79" t="n"/>
      <c r="P4" s="79" t="n"/>
      <c r="Q4" s="79" t="n"/>
      <c r="R4" s="79" t="n"/>
      <c r="S4" s="79" t="n"/>
      <c r="T4" s="79" t="n"/>
      <c r="U4" s="79" t="n"/>
      <c r="V4" s="79" t="n"/>
      <c r="W4" s="79" t="n"/>
      <c r="X4" s="79" t="n"/>
      <c r="Y4" s="79" t="n"/>
    </row>
    <row r="5">
      <c r="A5" s="4" t="n"/>
      <c r="B5" s="79" t="n"/>
      <c r="C5" s="79" t="n"/>
      <c r="D5" s="79" t="n"/>
      <c r="E5" s="79" t="n"/>
      <c r="F5" s="79" t="n"/>
      <c r="G5" s="79" t="n"/>
      <c r="H5" s="79" t="n"/>
      <c r="I5" s="79" t="n"/>
      <c r="J5" s="79" t="n"/>
      <c r="K5" s="79" t="n"/>
      <c r="L5" s="79" t="n"/>
      <c r="M5" s="79" t="n"/>
      <c r="N5" s="79" t="n"/>
      <c r="O5" s="79" t="n"/>
      <c r="P5" s="79" t="n"/>
      <c r="Q5" s="79" t="n"/>
      <c r="R5" s="79" t="n"/>
      <c r="S5" s="79" t="n"/>
      <c r="T5" s="79" t="n"/>
      <c r="U5" s="79" t="n"/>
      <c r="V5" s="79" t="n"/>
      <c r="W5" s="79" t="n"/>
      <c r="X5" s="79" t="n"/>
      <c r="Y5" s="79" t="n"/>
    </row>
    <row r="6">
      <c r="A6" s="5" t="inlineStr">
        <is>
          <t>Investigating customer pain points created by the 3rd party logistics (Carrybee)</t>
        </is>
      </c>
      <c r="B6" s="6"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row>
    <row r="7">
      <c r="A7" s="8" t="inlineStr">
        <is>
          <t>Detailed Study Plan - Here</t>
        </is>
      </c>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row>
    <row r="8">
      <c r="A8" s="8" t="inlineStr">
        <is>
          <t>Findings Summary - Here</t>
        </is>
      </c>
      <c r="B8" s="21"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row>
    <row r="9">
      <c r="A9" s="11" t="inlineStr">
        <is>
          <t>Execution: 28th July - 5th August 2025
Status: Ongoing</t>
        </is>
      </c>
      <c r="B9" s="21"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row>
    <row r="10">
      <c r="A10" s="12" t="inlineStr">
        <is>
          <t>Date Range of the Data: 01st July - 15th July 2025</t>
        </is>
      </c>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row>
    <row r="11">
      <c r="A11" s="13" t="inlineStr">
        <is>
          <t>Problem</t>
        </is>
      </c>
      <c r="B11" s="14" t="n"/>
      <c r="C11" s="14" t="n"/>
      <c r="D11" s="14" t="n"/>
      <c r="E11" s="14" t="n"/>
      <c r="F11" s="14" t="n"/>
      <c r="G11" s="14" t="n"/>
      <c r="H11" s="15" t="n"/>
      <c r="I11" s="12" t="n"/>
      <c r="J11" s="12" t="n"/>
      <c r="K11" s="12" t="n"/>
      <c r="L11" s="12" t="n"/>
      <c r="M11" s="12" t="n"/>
      <c r="N11" s="12" t="n"/>
      <c r="O11" s="12" t="n"/>
      <c r="P11" s="12" t="n"/>
      <c r="Q11" s="12" t="n"/>
      <c r="R11" s="12" t="n"/>
      <c r="S11" s="12" t="n"/>
      <c r="T11" s="12" t="n"/>
      <c r="U11" s="12" t="n"/>
      <c r="V11" s="12" t="n"/>
      <c r="W11" s="12" t="n"/>
      <c r="X11" s="12" t="n"/>
      <c r="Y11" s="12" t="n"/>
    </row>
    <row r="12">
      <c r="A12" s="16" t="inlineStr">
        <is>
          <t>Despite steady improvements in CartUp’s product offerings and delivery networks, customers are still facing experience-related dissatisfaction during the last mile of fulfillment. Although the orders are completed (no failed delivery or return-to-sender), many customers report negative or neutral experiences in the post-purchase phase.</t>
        </is>
      </c>
      <c r="B12" s="86" t="n"/>
      <c r="C12" s="86" t="n"/>
      <c r="D12" s="86" t="n"/>
      <c r="E12" s="86" t="n"/>
      <c r="F12" s="23" t="n"/>
      <c r="G12" s="19" t="n"/>
      <c r="H12" s="21" t="n"/>
      <c r="I12" s="12" t="n"/>
      <c r="J12" s="12" t="n"/>
      <c r="K12" s="12" t="n"/>
      <c r="L12" s="12" t="n"/>
      <c r="M12" s="12" t="n"/>
      <c r="N12" s="12" t="n"/>
      <c r="O12" s="12" t="n"/>
      <c r="P12" s="12" t="n"/>
      <c r="Q12" s="12" t="n"/>
      <c r="R12" s="12" t="n"/>
      <c r="S12" s="12" t="n"/>
      <c r="T12" s="12" t="n"/>
      <c r="U12" s="12" t="n"/>
      <c r="V12" s="12" t="n"/>
      <c r="W12" s="12" t="n"/>
      <c r="X12" s="12" t="n"/>
      <c r="Y12" s="12" t="n"/>
    </row>
    <row r="13">
      <c r="A13" s="12" t="inlineStr">
        <is>
          <t>Several early signals from feedback and NPS scores suggest possible dissatisfaction around:</t>
        </is>
      </c>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row>
    <row r="14">
      <c r="A14" s="20" t="inlineStr">
        <is>
          <t>Delivery delays</t>
        </is>
      </c>
      <c r="B14" s="23" t="n"/>
      <c r="C14" s="23" t="n"/>
      <c r="D14" s="23" t="n"/>
      <c r="E14" s="23" t="n"/>
      <c r="F14" s="23" t="n"/>
      <c r="G14" s="19" t="n"/>
      <c r="H14" s="12" t="n"/>
      <c r="I14" s="12" t="n"/>
      <c r="J14" s="12" t="n"/>
      <c r="K14" s="12" t="n"/>
      <c r="L14" s="12" t="n"/>
      <c r="M14" s="12" t="n"/>
      <c r="N14" s="12" t="n"/>
      <c r="O14" s="12" t="n"/>
      <c r="P14" s="12" t="n"/>
      <c r="Q14" s="12" t="n"/>
      <c r="R14" s="12" t="n"/>
      <c r="S14" s="12" t="n"/>
      <c r="T14" s="12" t="n"/>
      <c r="U14" s="12" t="n"/>
      <c r="V14" s="12" t="n"/>
      <c r="W14" s="12" t="n"/>
      <c r="X14" s="12" t="n"/>
      <c r="Y14" s="12" t="n"/>
    </row>
    <row r="15">
      <c r="A15" s="21" t="inlineStr">
        <is>
          <t>Unhelpful tracking updates</t>
        </is>
      </c>
      <c r="B15" s="21" t="n"/>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row>
    <row r="16">
      <c r="A16" s="20" t="inlineStr">
        <is>
          <t>Poor packaging</t>
        </is>
      </c>
      <c r="B16" s="23" t="n"/>
      <c r="C16" s="23" t="n"/>
      <c r="D16" s="23" t="n"/>
      <c r="E16" s="23" t="n"/>
      <c r="F16" s="23" t="n"/>
      <c r="G16" s="19" t="n"/>
      <c r="H16" s="12" t="n"/>
      <c r="I16" s="12" t="n"/>
      <c r="J16" s="12" t="n"/>
      <c r="K16" s="12" t="n"/>
      <c r="L16" s="12" t="n"/>
      <c r="M16" s="12" t="n"/>
      <c r="N16" s="12" t="n"/>
      <c r="O16" s="12" t="n"/>
      <c r="P16" s="12" t="n"/>
      <c r="Q16" s="12" t="n"/>
      <c r="R16" s="12" t="n"/>
      <c r="S16" s="12" t="n"/>
      <c r="T16" s="12" t="n"/>
      <c r="U16" s="12" t="n"/>
      <c r="V16" s="12" t="n"/>
      <c r="W16" s="12" t="n"/>
      <c r="X16" s="12" t="n"/>
      <c r="Y16" s="12" t="n"/>
    </row>
    <row r="17">
      <c r="A17" s="20" t="inlineStr">
        <is>
          <t>Rude or non-communicative delivery agents</t>
        </is>
      </c>
      <c r="B17" s="23" t="n"/>
      <c r="C17" s="23" t="n"/>
      <c r="D17" s="23" t="n"/>
      <c r="E17" s="23" t="n"/>
      <c r="F17" s="23" t="n"/>
      <c r="G17" s="19" t="n"/>
      <c r="H17" s="12" t="n"/>
      <c r="I17" s="12" t="n"/>
      <c r="J17" s="12" t="n"/>
      <c r="K17" s="12" t="n"/>
      <c r="L17" s="12" t="n"/>
      <c r="M17" s="12" t="n"/>
      <c r="N17" s="12" t="n"/>
      <c r="O17" s="12" t="n"/>
      <c r="P17" s="12" t="n"/>
      <c r="Q17" s="12" t="n"/>
      <c r="R17" s="12" t="n"/>
      <c r="S17" s="12" t="n"/>
      <c r="T17" s="12" t="n"/>
      <c r="U17" s="12" t="n"/>
      <c r="V17" s="12" t="n"/>
      <c r="W17" s="12" t="n"/>
      <c r="X17" s="12" t="n"/>
      <c r="Y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row>
    <row r="19">
      <c r="A19" s="22" t="inlineStr">
        <is>
          <t>Target Audience</t>
        </is>
      </c>
      <c r="B19" s="14" t="n"/>
      <c r="C19" s="14" t="n"/>
      <c r="D19" s="14" t="n"/>
      <c r="E19" s="14" t="n"/>
      <c r="F19" s="14" t="n"/>
      <c r="G19" s="14" t="n"/>
      <c r="H19" s="12" t="n"/>
      <c r="I19" s="12" t="n"/>
      <c r="J19" s="12" t="n"/>
      <c r="K19" s="12" t="n"/>
      <c r="L19" s="12" t="n"/>
      <c r="M19" s="12" t="n"/>
      <c r="N19" s="12" t="n"/>
      <c r="O19" s="12" t="n"/>
      <c r="P19" s="12" t="n"/>
      <c r="Q19" s="12" t="n"/>
      <c r="R19" s="12" t="n"/>
      <c r="S19" s="12" t="n"/>
      <c r="T19" s="12" t="n"/>
      <c r="U19" s="12" t="n"/>
      <c r="V19" s="12" t="n"/>
      <c r="W19" s="12" t="n"/>
      <c r="X19" s="12" t="n"/>
      <c r="Y19" s="12" t="n"/>
    </row>
    <row r="20">
      <c r="A20" s="23" t="inlineStr">
        <is>
          <t xml:space="preserve">All customers with at least 1 order in the last 30 days. </t>
        </is>
      </c>
      <c r="B20" s="24"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row>
    <row r="21">
      <c r="A21" s="15" t="n"/>
      <c r="B21" s="15" t="n"/>
      <c r="C21" s="15"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row>
    <row r="22">
      <c r="A22" s="25" t="inlineStr">
        <is>
          <t>Target</t>
        </is>
      </c>
      <c r="B22" s="26" t="inlineStr">
        <is>
          <t>Response Count</t>
        </is>
      </c>
      <c r="C22" s="27" t="inlineStr">
        <is>
          <t>Category</t>
        </is>
      </c>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row>
    <row r="23">
      <c r="A23" s="62" t="inlineStr">
        <is>
          <t>Pool 1</t>
        </is>
      </c>
      <c r="B23" s="29" t="n">
        <v>60</v>
      </c>
      <c r="C23" s="27" t="inlineStr">
        <is>
          <t>Successfuly Delivered</t>
        </is>
      </c>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row>
    <row r="24">
      <c r="A24" s="62" t="inlineStr">
        <is>
          <t>Pool 2</t>
        </is>
      </c>
      <c r="B24" s="29" t="n">
        <v>70</v>
      </c>
      <c r="C24" s="27" t="inlineStr">
        <is>
          <t>Return Pickup</t>
        </is>
      </c>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row>
    <row r="25">
      <c r="A25" s="62" t="inlineStr">
        <is>
          <t>Pool 3</t>
        </is>
      </c>
      <c r="B25" s="29" t="n">
        <v>70</v>
      </c>
      <c r="C25" s="27" t="inlineStr">
        <is>
          <t>Failed Delivery</t>
        </is>
      </c>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row>
    <row r="26">
      <c r="A26" s="30" t="inlineStr">
        <is>
          <t>Total</t>
        </is>
      </c>
      <c r="B26" s="31" t="n">
        <v>200</v>
      </c>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row>
    <row r="28">
      <c r="A28" s="22" t="inlineStr">
        <is>
          <t>Method &amp; Limitation</t>
        </is>
      </c>
      <c r="B28" s="14" t="n"/>
      <c r="C28" s="14" t="n"/>
      <c r="D28" s="14" t="n"/>
      <c r="E28" s="14" t="n"/>
      <c r="F28" s="14" t="n"/>
      <c r="G28" s="14" t="n"/>
      <c r="H28" s="12" t="n"/>
      <c r="I28" s="12" t="n"/>
      <c r="J28" s="12" t="n"/>
      <c r="K28" s="12" t="n"/>
      <c r="L28" s="12" t="n"/>
      <c r="M28" s="12" t="n"/>
      <c r="N28" s="12" t="n"/>
      <c r="O28" s="12" t="n"/>
      <c r="P28" s="12" t="n"/>
      <c r="Q28" s="12" t="n"/>
      <c r="R28" s="12" t="n"/>
      <c r="S28" s="12" t="n"/>
      <c r="T28" s="12" t="n"/>
      <c r="U28" s="12" t="n"/>
      <c r="V28" s="12" t="n"/>
      <c r="W28" s="12" t="n"/>
      <c r="X28" s="12" t="n"/>
      <c r="Y28" s="12" t="n"/>
    </row>
    <row r="29">
      <c r="A29" s="32" t="inlineStr">
        <is>
          <t>Call Surveys were used the methid of this study as it helps secure respondents quickly and gather more insightful data as moderator can proble &amp; clarify</t>
        </is>
      </c>
      <c r="B29" s="24" t="n"/>
      <c r="C29" s="24"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row>
    <row r="30">
      <c r="A30" s="23" t="inlineStr">
        <is>
          <t>However, some of the limitations are as follows:</t>
        </is>
      </c>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row>
    <row r="31">
      <c r="A31" s="23" t="inlineStr">
        <is>
          <t>- As all questions are open ended and the agents need to interpret  and select/comment about it can have some misinterpretation</t>
        </is>
      </c>
      <c r="B31" s="24" t="n"/>
      <c r="C31" s="24"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row>
    <row r="32">
      <c r="A32" s="23" t="inlineStr">
        <is>
          <t>- The conversations are very fluid and the respondent might not answer all questions</t>
        </is>
      </c>
      <c r="B32" s="24"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row>
    <row r="33">
      <c r="A33" s="23" t="inlineStr">
        <is>
          <t xml:space="preserve">- Only customers with specific category;  are more likely to express their concerns </t>
        </is>
      </c>
      <c r="B33" s="24"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row>
    <row r="34">
      <c r="A34" s="23" t="inlineStr">
        <is>
          <t>- It can come off as telemarketing and disturb customers during their working hours/other commitments</t>
        </is>
      </c>
      <c r="B34" s="24"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row>
    <row r="36">
      <c r="A36" s="13" t="inlineStr">
        <is>
          <t>Call Script</t>
        </is>
      </c>
      <c r="B36" s="14" t="n"/>
      <c r="C36" s="14" t="n"/>
      <c r="D36" s="14" t="n"/>
      <c r="E36" s="14" t="n"/>
      <c r="F36" s="14" t="n"/>
      <c r="G36" s="14" t="n"/>
      <c r="H36" s="12" t="n"/>
      <c r="I36" s="12" t="n"/>
      <c r="J36" s="12" t="n"/>
      <c r="K36" s="12" t="n"/>
      <c r="L36" s="12" t="n"/>
      <c r="M36" s="12" t="n"/>
      <c r="N36" s="12" t="n"/>
      <c r="O36" s="12" t="n"/>
      <c r="P36" s="12" t="n"/>
      <c r="Q36" s="12" t="n"/>
      <c r="R36" s="12" t="n"/>
      <c r="S36" s="12" t="n"/>
      <c r="T36" s="12" t="n"/>
      <c r="U36" s="12" t="n"/>
      <c r="V36" s="12" t="n"/>
      <c r="W36" s="12" t="n"/>
      <c r="X36" s="12" t="n"/>
      <c r="Y36" s="12" t="n"/>
    </row>
  </sheetData>
  <mergeCells count="2">
    <mergeCell ref="A2:E3"/>
    <mergeCell ref="A12:E12"/>
  </mergeCells>
  <hyperlinks>
    <hyperlink xmlns:r="http://schemas.openxmlformats.org/officeDocument/2006/relationships" ref="A7" r:id="rId1"/>
    <hyperlink xmlns:r="http://schemas.openxmlformats.org/officeDocument/2006/relationships" ref="A8" r:id="rId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25"/>
  <sheetViews>
    <sheetView showGridLines="0" workbookViewId="0">
      <selection activeCell="A1" sqref="A1"/>
    </sheetView>
  </sheetViews>
  <sheetFormatPr baseColWidth="8" defaultColWidth="12.63" defaultRowHeight="15.75" customHeight="1"/>
  <cols>
    <col width="21.63" customWidth="1" style="85" min="1" max="1"/>
    <col width="54.25" customWidth="1" style="85" min="2" max="2"/>
  </cols>
  <sheetData>
    <row r="1">
      <c r="A1" s="1" t="inlineStr">
        <is>
          <t>Steps &amp; Elements</t>
        </is>
      </c>
      <c r="B1" s="4" t="n"/>
      <c r="C1" s="79" t="n"/>
      <c r="D1" s="79" t="n"/>
      <c r="E1" s="79" t="n"/>
      <c r="F1" s="79" t="n"/>
      <c r="G1" s="79" t="n"/>
      <c r="H1" s="79" t="n"/>
      <c r="I1" s="79" t="n"/>
      <c r="J1" s="79" t="n"/>
      <c r="K1" s="79" t="n"/>
      <c r="L1" s="79" t="n"/>
      <c r="M1" s="79" t="n"/>
      <c r="N1" s="79" t="n"/>
      <c r="O1" s="79" t="n"/>
      <c r="P1" s="79" t="n"/>
      <c r="Q1" s="79" t="n"/>
      <c r="R1" s="79" t="n"/>
      <c r="S1" s="79" t="n"/>
      <c r="T1" s="79" t="n"/>
      <c r="U1" s="79" t="n"/>
      <c r="V1" s="79" t="n"/>
      <c r="W1" s="79" t="n"/>
      <c r="X1" s="79" t="n"/>
      <c r="Y1" s="79" t="n"/>
      <c r="Z1" s="79" t="n"/>
    </row>
    <row r="2">
      <c r="A2" s="1" t="n"/>
      <c r="B2" s="4" t="n"/>
      <c r="C2" s="79" t="n"/>
      <c r="D2" s="79" t="n"/>
      <c r="E2" s="79" t="n"/>
      <c r="F2" s="79" t="n"/>
      <c r="G2" s="79" t="n"/>
      <c r="H2" s="79" t="n"/>
      <c r="I2" s="79" t="n"/>
      <c r="J2" s="79" t="n"/>
      <c r="K2" s="79" t="n"/>
      <c r="L2" s="79" t="n"/>
      <c r="M2" s="79" t="n"/>
      <c r="N2" s="79" t="n"/>
      <c r="O2" s="79" t="n"/>
      <c r="P2" s="79" t="n"/>
      <c r="Q2" s="79" t="n"/>
      <c r="R2" s="79" t="n"/>
      <c r="S2" s="79" t="n"/>
      <c r="T2" s="79" t="n"/>
      <c r="U2" s="79" t="n"/>
      <c r="V2" s="79" t="n"/>
      <c r="W2" s="79" t="n"/>
      <c r="X2" s="79" t="n"/>
      <c r="Y2" s="79" t="n"/>
      <c r="Z2" s="79" t="n"/>
    </row>
    <row r="3">
      <c r="A3" s="1" t="inlineStr">
        <is>
          <t>Steps (Columns to work with)</t>
        </is>
      </c>
      <c r="B3" s="4" t="n"/>
      <c r="C3" s="79" t="n"/>
      <c r="D3" s="79" t="n"/>
      <c r="E3" s="79" t="n"/>
      <c r="F3" s="79" t="n"/>
      <c r="G3" s="79" t="n"/>
      <c r="H3" s="79" t="n"/>
      <c r="I3" s="79" t="n"/>
      <c r="J3" s="79" t="n"/>
      <c r="K3" s="79" t="n"/>
      <c r="L3" s="79" t="n"/>
      <c r="M3" s="79" t="n"/>
      <c r="N3" s="79" t="n"/>
      <c r="O3" s="79" t="n"/>
      <c r="P3" s="79" t="n"/>
      <c r="Q3" s="79" t="n"/>
      <c r="R3" s="79" t="n"/>
      <c r="S3" s="79" t="n"/>
      <c r="T3" s="79" t="n"/>
      <c r="U3" s="79" t="n"/>
      <c r="V3" s="79" t="n"/>
      <c r="W3" s="79" t="n"/>
      <c r="X3" s="79" t="n"/>
      <c r="Y3" s="79" t="n"/>
      <c r="Z3" s="79" t="n"/>
    </row>
    <row r="4">
      <c r="A4" s="33" t="inlineStr">
        <is>
          <t>Before Call</t>
        </is>
      </c>
      <c r="B4" s="33" t="inlineStr">
        <is>
          <t>Order No.        Agent Name        Calling Date        Buyer ID        Name        Phone No.        Category 1        Category 2        Product Name</t>
        </is>
      </c>
      <c r="C4" s="87" t="n"/>
      <c r="D4" s="87" t="n"/>
      <c r="E4" s="87" t="n"/>
      <c r="F4" s="88" t="n"/>
      <c r="G4" s="79" t="n"/>
      <c r="H4" s="79" t="n"/>
      <c r="I4" s="79" t="n"/>
      <c r="J4" s="79" t="n"/>
      <c r="K4" s="79" t="n"/>
      <c r="L4" s="79" t="n"/>
      <c r="M4" s="79" t="n"/>
      <c r="N4" s="79" t="n"/>
      <c r="O4" s="79" t="n"/>
      <c r="P4" s="79" t="n"/>
      <c r="Q4" s="79" t="n"/>
      <c r="R4" s="79" t="n"/>
      <c r="S4" s="79" t="n"/>
      <c r="T4" s="79" t="n"/>
      <c r="U4" s="79" t="n"/>
      <c r="V4" s="79" t="n"/>
      <c r="W4" s="79" t="n"/>
      <c r="X4" s="79" t="n"/>
      <c r="Y4" s="79" t="n"/>
      <c r="Z4" s="79" t="n"/>
    </row>
    <row r="5">
      <c r="A5" s="33" t="inlineStr">
        <is>
          <t>During Call</t>
        </is>
      </c>
      <c r="B5" s="33" t="inlineStr">
        <is>
          <t>Q 1 to 7</t>
        </is>
      </c>
      <c r="C5" s="79" t="n"/>
      <c r="D5" s="79" t="n"/>
      <c r="E5" s="79" t="n"/>
      <c r="F5" s="79" t="n"/>
      <c r="G5" s="79" t="n"/>
      <c r="H5" s="79" t="n"/>
      <c r="I5" s="79" t="n"/>
      <c r="J5" s="79" t="n"/>
      <c r="K5" s="79" t="n"/>
      <c r="L5" s="79" t="n"/>
      <c r="M5" s="79" t="n"/>
      <c r="N5" s="79" t="n"/>
      <c r="O5" s="79" t="n"/>
      <c r="P5" s="79" t="n"/>
      <c r="Q5" s="79" t="n"/>
      <c r="R5" s="79" t="n"/>
      <c r="S5" s="79" t="n"/>
      <c r="T5" s="79" t="n"/>
      <c r="U5" s="79" t="n"/>
      <c r="V5" s="79" t="n"/>
      <c r="W5" s="79" t="n"/>
      <c r="X5" s="79" t="n"/>
      <c r="Y5" s="79" t="n"/>
      <c r="Z5" s="79" t="n"/>
    </row>
    <row r="6">
      <c r="A6" s="33" t="inlineStr">
        <is>
          <t>After Call</t>
        </is>
      </c>
      <c r="B6" s="33" t="inlineStr">
        <is>
          <t>Sentiment</t>
        </is>
      </c>
      <c r="C6" s="79" t="n"/>
      <c r="D6" s="79" t="n"/>
      <c r="E6" s="79" t="n"/>
      <c r="F6" s="79" t="n"/>
      <c r="G6" s="79" t="n"/>
      <c r="H6" s="79" t="n"/>
      <c r="I6" s="79" t="n"/>
      <c r="J6" s="79" t="n"/>
      <c r="K6" s="79" t="n"/>
      <c r="L6" s="79" t="n"/>
      <c r="M6" s="79" t="n"/>
      <c r="N6" s="79" t="n"/>
      <c r="O6" s="79" t="n"/>
      <c r="P6" s="79" t="n"/>
      <c r="Q6" s="79" t="n"/>
      <c r="R6" s="79" t="n"/>
      <c r="S6" s="79" t="n"/>
      <c r="T6" s="79" t="n"/>
      <c r="U6" s="79" t="n"/>
      <c r="V6" s="79" t="n"/>
      <c r="W6" s="79" t="n"/>
      <c r="X6" s="79" t="n"/>
      <c r="Y6" s="79" t="n"/>
      <c r="Z6" s="79" t="n"/>
    </row>
    <row r="7">
      <c r="A7" s="4" t="n"/>
      <c r="B7" s="4" t="n"/>
      <c r="C7" s="79" t="n"/>
      <c r="D7" s="79" t="n"/>
      <c r="E7" s="79" t="n"/>
      <c r="F7" s="79" t="n"/>
      <c r="G7" s="79" t="n"/>
      <c r="H7" s="79" t="n"/>
      <c r="I7" s="79" t="n"/>
      <c r="J7" s="79" t="n"/>
      <c r="K7" s="79" t="n"/>
      <c r="L7" s="79" t="n"/>
      <c r="M7" s="79" t="n"/>
      <c r="N7" s="79" t="n"/>
      <c r="O7" s="79" t="n"/>
      <c r="P7" s="79" t="n"/>
      <c r="Q7" s="79" t="n"/>
      <c r="R7" s="79" t="n"/>
      <c r="S7" s="79" t="n"/>
      <c r="T7" s="79" t="n"/>
      <c r="U7" s="79" t="n"/>
      <c r="V7" s="79" t="n"/>
      <c r="W7" s="79" t="n"/>
      <c r="X7" s="79" t="n"/>
      <c r="Y7" s="79" t="n"/>
      <c r="Z7" s="79" t="n"/>
    </row>
    <row r="8">
      <c r="A8" s="4" t="n"/>
      <c r="B8" s="4" t="n"/>
      <c r="C8" s="79" t="n"/>
      <c r="D8" s="79" t="n"/>
      <c r="E8" s="79" t="n"/>
      <c r="F8" s="79" t="n"/>
      <c r="G8" s="79" t="n"/>
      <c r="H8" s="79" t="n"/>
      <c r="I8" s="79" t="n"/>
      <c r="J8" s="79" t="n"/>
      <c r="K8" s="79" t="n"/>
      <c r="L8" s="79" t="n"/>
      <c r="M8" s="79" t="n"/>
      <c r="N8" s="79" t="n"/>
      <c r="O8" s="79" t="n"/>
      <c r="P8" s="79" t="n"/>
      <c r="Q8" s="79" t="n"/>
      <c r="R8" s="79" t="n"/>
      <c r="S8" s="79" t="n"/>
      <c r="T8" s="79" t="n"/>
      <c r="U8" s="79" t="n"/>
      <c r="V8" s="79" t="n"/>
      <c r="W8" s="79" t="n"/>
      <c r="X8" s="79" t="n"/>
      <c r="Y8" s="79" t="n"/>
      <c r="Z8" s="79" t="n"/>
    </row>
    <row r="9">
      <c r="A9" s="4" t="n"/>
      <c r="B9" s="4" t="n"/>
      <c r="C9" s="79" t="n"/>
      <c r="D9" s="79" t="n"/>
      <c r="E9" s="79" t="n"/>
      <c r="F9" s="79" t="n"/>
      <c r="G9" s="79" t="n"/>
      <c r="H9" s="79" t="n"/>
      <c r="I9" s="79" t="n"/>
      <c r="J9" s="79" t="n"/>
      <c r="K9" s="79" t="n"/>
      <c r="L9" s="79" t="n"/>
      <c r="M9" s="79" t="n"/>
      <c r="N9" s="79" t="n"/>
      <c r="O9" s="79" t="n"/>
      <c r="P9" s="79" t="n"/>
      <c r="Q9" s="79" t="n"/>
      <c r="R9" s="79" t="n"/>
      <c r="S9" s="79" t="n"/>
      <c r="T9" s="79" t="n"/>
      <c r="U9" s="79" t="n"/>
      <c r="V9" s="79" t="n"/>
      <c r="W9" s="79" t="n"/>
      <c r="X9" s="79" t="n"/>
      <c r="Y9" s="79" t="n"/>
      <c r="Z9" s="79" t="n"/>
    </row>
    <row r="10">
      <c r="A10" s="1" t="inlineStr">
        <is>
          <t>Survey Questionnaire</t>
        </is>
      </c>
      <c r="B10" s="79" t="n"/>
      <c r="C10" s="79" t="n"/>
      <c r="D10" s="79" t="n"/>
      <c r="E10" s="79" t="n"/>
      <c r="F10" s="79" t="n"/>
      <c r="G10" s="79" t="n"/>
      <c r="H10" s="79" t="n"/>
      <c r="I10" s="79" t="n"/>
      <c r="J10" s="79" t="n"/>
      <c r="K10" s="79" t="n"/>
      <c r="L10" s="79" t="n"/>
      <c r="M10" s="79" t="n"/>
      <c r="N10" s="79" t="n"/>
      <c r="O10" s="79" t="n"/>
      <c r="P10" s="79" t="n"/>
      <c r="Q10" s="79" t="n"/>
      <c r="R10" s="79" t="n"/>
      <c r="S10" s="79" t="n"/>
      <c r="T10" s="79" t="n"/>
      <c r="U10" s="79" t="n"/>
      <c r="V10" s="79" t="n"/>
      <c r="W10" s="79" t="n"/>
      <c r="X10" s="79" t="n"/>
      <c r="Y10" s="79" t="n"/>
      <c r="Z10" s="79" t="n"/>
    </row>
    <row r="11">
      <c r="A11" s="89" t="inlineStr">
        <is>
          <t>Successful Delivery</t>
        </is>
      </c>
      <c r="B11" s="33" t="inlineStr">
        <is>
          <t>Was product delivered on time?</t>
        </is>
      </c>
    </row>
    <row r="12">
      <c r="A12" s="90" t="n"/>
      <c r="B12" s="33" t="inlineStr">
        <is>
          <t>Delivery agent behavior</t>
        </is>
      </c>
    </row>
    <row r="13">
      <c r="A13" s="90" t="n"/>
      <c r="B13" s="33" t="inlineStr">
        <is>
          <t>Product/package condition</t>
        </is>
      </c>
    </row>
    <row r="14">
      <c r="A14" s="91" t="n"/>
      <c r="B14" s="33" t="inlineStr">
        <is>
          <t>Tracking update usefulness</t>
        </is>
      </c>
    </row>
    <row r="15">
      <c r="A15" s="89" t="inlineStr">
        <is>
          <t>Failed Delivery</t>
        </is>
      </c>
      <c r="B15" s="33" t="inlineStr">
        <is>
          <t>Reason for failed delivery</t>
        </is>
      </c>
    </row>
    <row r="16">
      <c r="A16" s="90" t="n"/>
      <c r="B16" s="33" t="inlineStr">
        <is>
          <t>Notified before delivery?</t>
        </is>
      </c>
    </row>
    <row r="17">
      <c r="A17" s="90" t="n"/>
      <c r="B17" s="33" t="inlineStr">
        <is>
          <t>Contacted support?</t>
        </is>
      </c>
    </row>
    <row r="18">
      <c r="A18" s="91" t="n"/>
      <c r="B18" s="33" t="inlineStr">
        <is>
          <t>Rescheduling experience</t>
        </is>
      </c>
    </row>
    <row r="19">
      <c r="A19" s="89" t="inlineStr">
        <is>
          <t>Return Pickup</t>
        </is>
      </c>
      <c r="B19" s="33" t="inlineStr">
        <is>
          <t>Was the return picked up on the promised date?</t>
        </is>
      </c>
    </row>
    <row r="20">
      <c r="A20" s="90" t="n"/>
      <c r="B20" s="33" t="inlineStr">
        <is>
          <t>Did the pickup agent contact you before arrival?</t>
        </is>
      </c>
    </row>
    <row r="21">
      <c r="A21" s="90" t="n"/>
      <c r="B21" s="33" t="inlineStr">
        <is>
          <t>How would you rate the behavior of the pickup agent?</t>
        </is>
      </c>
      <c r="E21" s="79" t="n"/>
    </row>
    <row r="22">
      <c r="A22" s="91" t="n"/>
      <c r="B22" s="33" t="inlineStr">
        <is>
          <t xml:space="preserve">Was the return process explained properly by the agent or system?        </t>
        </is>
      </c>
    </row>
    <row r="23">
      <c r="A23" s="40" t="inlineStr">
        <is>
          <t>NPS</t>
        </is>
      </c>
      <c r="B23" s="40" t="inlineStr">
        <is>
          <t>how do you perceive Carrybee? 1-10</t>
        </is>
      </c>
    </row>
    <row r="25">
      <c r="A25" s="1" t="n"/>
    </row>
  </sheetData>
  <mergeCells count="4">
    <mergeCell ref="B4:F4"/>
    <mergeCell ref="A19:A22"/>
    <mergeCell ref="A11:A14"/>
    <mergeCell ref="A15:A18"/>
  </mergeCells>
  <pageMargins left="0.75" right="0.75" top="1" bottom="1" header="0.5" footer="0.5"/>
</worksheet>
</file>

<file path=xl/worksheets/sheet3.xml><?xml version="1.0" encoding="utf-8"?>
<worksheet xmlns="http://schemas.openxmlformats.org/spreadsheetml/2006/main">
  <sheetPr>
    <tabColor rgb="FF00FF00"/>
    <outlinePr summaryBelow="0" summaryRight="0"/>
    <pageSetUpPr/>
  </sheetPr>
  <dimension ref="A1:Z283"/>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2.63" defaultRowHeight="15.75" customHeight="1"/>
  <cols>
    <col width="4.75" customWidth="1" style="85" min="1" max="1"/>
    <col width="16.63" customWidth="1" style="85" min="2" max="2"/>
    <col width="18.38" customWidth="1" style="85" min="3" max="3"/>
    <col width="17.75" customWidth="1" style="85" min="5" max="5"/>
    <col width="15.5" customWidth="1" style="85" min="6" max="6"/>
    <col width="15" customWidth="1" style="85" min="10" max="10"/>
    <col width="11.13" customWidth="1" style="85" min="11" max="11"/>
    <col width="15" customWidth="1" style="85" min="12" max="12"/>
    <col width="15.5" customWidth="1" style="85" min="13" max="13"/>
    <col width="26" customWidth="1" style="85" min="14" max="14"/>
    <col width="19.88" customWidth="1" style="85" min="15" max="15"/>
    <col width="32.25" customWidth="1" style="85" min="16" max="16"/>
    <col hidden="1" width="26" customWidth="1" style="85" min="17" max="17"/>
    <col width="26" customWidth="1" style="85" min="18" max="19"/>
    <col width="41.38" customWidth="1" style="85" min="20" max="20"/>
    <col width="31.5" customWidth="1" style="85" min="21" max="21"/>
    <col hidden="1" width="26" customWidth="1" style="85" min="22" max="22"/>
    <col width="13.13" customWidth="1" style="85" min="23" max="23"/>
    <col width="26" customWidth="1" style="85" min="24" max="25"/>
    <col hidden="1" width="26" customWidth="1" style="85" min="26" max="26"/>
  </cols>
  <sheetData>
    <row r="1">
      <c r="A1" s="42" t="n"/>
      <c r="B1" s="42" t="n"/>
      <c r="C1" s="42" t="n"/>
      <c r="D1" s="42" t="n"/>
      <c r="E1" s="42">
        <f>COUNTA(E5:E283)</f>
        <v/>
      </c>
      <c r="F1" s="42" t="n"/>
      <c r="G1" s="42" t="n"/>
      <c r="H1" s="42" t="n"/>
      <c r="I1" s="42" t="n"/>
      <c r="J1" s="42" t="n"/>
      <c r="K1" s="42" t="n"/>
      <c r="L1" s="42" t="n"/>
      <c r="M1" s="42">
        <f>COUNTIF(M5:M283,"Connected ")</f>
        <v/>
      </c>
      <c r="N1" s="42">
        <f>COUNTIF(N5:N283,"Yes")</f>
        <v/>
      </c>
      <c r="O1" s="42">
        <f>COUNTIF(O5:O283, "Slightly Late")</f>
        <v/>
      </c>
      <c r="P1" s="42" t="n"/>
      <c r="Q1" s="42" t="n"/>
      <c r="R1" s="42">
        <f>COUNTIF(R5:R283,"Very polite")</f>
        <v/>
      </c>
      <c r="S1" s="42">
        <f>COUNTIF(S5:S283,"Damaged")</f>
        <v/>
      </c>
      <c r="T1" s="42">
        <f>COUNTIF(T5:T283,"No")</f>
        <v/>
      </c>
      <c r="U1" s="42">
        <f>COUNTA(U5:U33)</f>
        <v/>
      </c>
      <c r="V1" s="42">
        <f>COUNTA(V5:V33)</f>
        <v/>
      </c>
      <c r="W1" s="42">
        <f>COUNTIF(W5:W283,"10")</f>
        <v/>
      </c>
      <c r="X1" s="42">
        <f>COUNTA(X5:X283)</f>
        <v/>
      </c>
      <c r="Y1" s="42">
        <f>COUNTIF(Y5:Y283,"Positive")</f>
        <v/>
      </c>
      <c r="Z1" s="42" t="n"/>
    </row>
    <row r="2">
      <c r="A2" s="42" t="n"/>
      <c r="B2" s="42" t="n"/>
      <c r="C2" s="42" t="n"/>
      <c r="D2" s="42" t="n"/>
      <c r="E2" s="42" t="n"/>
      <c r="F2" s="42" t="n"/>
      <c r="G2" s="42" t="n"/>
      <c r="H2" s="42" t="n"/>
      <c r="I2" s="42" t="n"/>
      <c r="J2" s="42" t="n"/>
      <c r="K2" s="42" t="n"/>
      <c r="L2" s="42" t="n"/>
      <c r="M2" s="42" t="n"/>
      <c r="N2" s="43" t="inlineStr">
        <is>
          <t>1 (compulsory)</t>
        </is>
      </c>
      <c r="O2" s="43" t="inlineStr">
        <is>
          <t>2 (compulsory)</t>
        </is>
      </c>
      <c r="P2" s="42" t="n"/>
      <c r="Q2" s="42" t="n"/>
      <c r="R2" s="43" t="inlineStr">
        <is>
          <t>3 (compulsory)</t>
        </is>
      </c>
      <c r="S2" s="43" t="inlineStr">
        <is>
          <t>4 (compulsory)</t>
        </is>
      </c>
      <c r="T2" s="44" t="inlineStr">
        <is>
          <t>5 (optional)</t>
        </is>
      </c>
      <c r="U2" s="45" t="n"/>
      <c r="V2" s="45" t="n"/>
      <c r="W2" s="43" t="inlineStr">
        <is>
          <t>6 (compulsory)</t>
        </is>
      </c>
      <c r="X2" s="46" t="inlineStr">
        <is>
          <t>Cartup Purchasing Experience</t>
        </is>
      </c>
      <c r="Y2" s="45" t="inlineStr">
        <is>
          <t>Sentiment</t>
        </is>
      </c>
      <c r="Z2" s="45" t="n"/>
    </row>
    <row r="3">
      <c r="A3" s="51" t="n"/>
      <c r="B3" s="51" t="n"/>
      <c r="C3" s="51" t="n"/>
      <c r="D3" s="48" t="n"/>
      <c r="E3" s="51" t="n"/>
      <c r="F3" s="51" t="n"/>
      <c r="G3" s="51" t="n"/>
      <c r="H3" s="51" t="n"/>
      <c r="I3" s="51" t="n"/>
      <c r="J3" s="51" t="n"/>
      <c r="K3" s="48" t="n"/>
      <c r="L3" s="51" t="n"/>
      <c r="M3" s="51" t="n"/>
      <c r="N3" s="49" t="inlineStr">
        <is>
          <t>Are you available for 2 to 3 mins to help us answer a few questions</t>
        </is>
      </c>
      <c r="O3" s="49" t="inlineStr">
        <is>
          <t>Was product delivered on time?</t>
        </is>
      </c>
      <c r="P3" s="50" t="n"/>
      <c r="Q3" s="50" t="n"/>
      <c r="R3" s="49" t="inlineStr">
        <is>
          <t>Delivery agent behavior</t>
        </is>
      </c>
      <c r="S3" s="49" t="inlineStr">
        <is>
          <t>Product/package condition</t>
        </is>
      </c>
      <c r="T3" s="49" t="inlineStr">
        <is>
          <t>Tracking update usefulness</t>
        </is>
      </c>
      <c r="U3" s="49" t="inlineStr">
        <is>
          <t>Open ended comments/experience</t>
        </is>
      </c>
      <c r="V3" s="49" t="n"/>
      <c r="W3" s="49" t="inlineStr">
        <is>
          <t>Overall delivery experience</t>
        </is>
      </c>
      <c r="X3" s="49" t="inlineStr">
        <is>
          <t>Overall Experience</t>
        </is>
      </c>
      <c r="Y3" s="49" t="inlineStr">
        <is>
          <t>Customer's Sentiment</t>
        </is>
      </c>
      <c r="Z3" s="51" t="n"/>
    </row>
    <row r="4">
      <c r="A4" s="52" t="inlineStr">
        <is>
          <t>Serial No.</t>
        </is>
      </c>
      <c r="B4" s="52" t="inlineStr">
        <is>
          <t>Order No.</t>
        </is>
      </c>
      <c r="C4" s="52" t="inlineStr">
        <is>
          <t>Agent Name</t>
        </is>
      </c>
      <c r="D4" s="53" t="inlineStr">
        <is>
          <t>Calling Date</t>
        </is>
      </c>
      <c r="E4" s="52" t="inlineStr">
        <is>
          <t>Buyer ID</t>
        </is>
      </c>
      <c r="F4" s="52" t="inlineStr">
        <is>
          <t>Name</t>
        </is>
      </c>
      <c r="G4" s="52" t="inlineStr">
        <is>
          <t>Phone No.</t>
        </is>
      </c>
      <c r="H4" s="52" t="inlineStr">
        <is>
          <t>District</t>
        </is>
      </c>
      <c r="I4" s="52" t="inlineStr">
        <is>
          <t>Category</t>
        </is>
      </c>
      <c r="J4" s="52" t="inlineStr">
        <is>
          <t>Sub-category</t>
        </is>
      </c>
      <c r="K4" s="54" t="inlineStr">
        <is>
          <t>TotalPrice</t>
        </is>
      </c>
      <c r="L4" s="52" t="inlineStr">
        <is>
          <t>Product Name</t>
        </is>
      </c>
      <c r="M4" s="52" t="inlineStr">
        <is>
          <t>Call Status</t>
        </is>
      </c>
      <c r="N4" s="55" t="inlineStr">
        <is>
          <t>(yes/no)</t>
        </is>
      </c>
      <c r="O4" s="55" t="inlineStr">
        <is>
          <t>(select from drop-down)</t>
        </is>
      </c>
      <c r="P4" s="55" t="inlineStr">
        <is>
          <t>Comments</t>
        </is>
      </c>
      <c r="Q4" s="55" t="inlineStr">
        <is>
          <t>Structured Comments Asef</t>
        </is>
      </c>
      <c r="R4" s="55" t="inlineStr">
        <is>
          <t>(select from drop-down)</t>
        </is>
      </c>
      <c r="S4" s="55" t="inlineStr">
        <is>
          <t>(select from drop-down)</t>
        </is>
      </c>
      <c r="T4" s="55" t="inlineStr">
        <is>
          <t>(select from drop-down)</t>
        </is>
      </c>
      <c r="U4" s="55" t="inlineStr">
        <is>
          <t>(open-ended)</t>
        </is>
      </c>
      <c r="V4" s="55" t="inlineStr">
        <is>
          <t>Structured Comments Asef</t>
        </is>
      </c>
      <c r="W4" s="55" t="inlineStr">
        <is>
          <t>(select from drop-down)</t>
        </is>
      </c>
      <c r="X4" s="55" t="inlineStr">
        <is>
          <t>(open-ended)</t>
        </is>
      </c>
      <c r="Y4" s="55" t="inlineStr">
        <is>
          <t>Other</t>
        </is>
      </c>
      <c r="Z4" s="55" t="inlineStr">
        <is>
          <t>Structured Comments Asef</t>
        </is>
      </c>
    </row>
    <row r="5">
      <c r="A5" s="63" t="n"/>
      <c r="B5" s="62" t="n">
        <v>25091630482311</v>
      </c>
      <c r="C5" s="58" t="n"/>
      <c r="D5" s="63" t="n"/>
      <c r="E5" s="62" t="n">
        <v>49179</v>
      </c>
      <c r="F5" s="63" t="inlineStr">
        <is>
          <t xml:space="preserve">Asaad Zamaan </t>
        </is>
      </c>
      <c r="G5" s="60" t="n">
        <v>1400494344</v>
      </c>
      <c r="H5" s="61" t="inlineStr">
        <is>
          <t>Bagerhat</t>
        </is>
      </c>
      <c r="I5" s="63" t="inlineStr">
        <is>
          <t>FMCG</t>
        </is>
      </c>
      <c r="J5" s="63" t="inlineStr">
        <is>
          <t>Mother  Baby</t>
        </is>
      </c>
      <c r="K5" s="62" t="n">
        <v>900</v>
      </c>
      <c r="L5" s="63" t="inlineStr">
        <is>
          <t>Nestle NAN Optipro 4 350gm BIB</t>
        </is>
      </c>
      <c r="M5" s="63" t="inlineStr">
        <is>
          <t xml:space="preserve">Connected </t>
        </is>
      </c>
      <c r="N5" s="79" t="inlineStr">
        <is>
          <t>Yes</t>
        </is>
      </c>
      <c r="O5" s="79" t="inlineStr">
        <is>
          <t>On time</t>
        </is>
      </c>
      <c r="P5" s="79" t="n"/>
      <c r="Q5" s="79" t="n"/>
      <c r="R5" s="79" t="inlineStr">
        <is>
          <t>Very polite</t>
        </is>
      </c>
      <c r="S5" s="79" t="inlineStr">
        <is>
          <t>Damaged</t>
        </is>
      </c>
      <c r="T5" s="79" t="inlineStr">
        <is>
          <t>Yes</t>
        </is>
      </c>
      <c r="U5" s="79" t="n"/>
      <c r="V5" s="79" t="n"/>
      <c r="W5" s="79" t="n">
        <v>8</v>
      </c>
      <c r="X5" s="79" t="n"/>
      <c r="Y5" s="79" t="inlineStr">
        <is>
          <t>Neutral</t>
        </is>
      </c>
      <c r="Z5" s="79" t="n"/>
    </row>
    <row r="6">
      <c r="A6" s="63" t="n"/>
      <c r="B6" s="62" t="n">
        <v>25091639693821</v>
      </c>
      <c r="C6" s="58" t="n"/>
      <c r="D6" s="65" t="n"/>
      <c r="E6" s="62" t="n">
        <v>690688</v>
      </c>
      <c r="F6" s="63" t="inlineStr">
        <is>
          <t xml:space="preserve">Abu Nuhad </t>
        </is>
      </c>
      <c r="G6" s="60" t="n">
        <v>1618276631</v>
      </c>
      <c r="H6" s="61" t="inlineStr">
        <is>
          <t>Bagerhat</t>
        </is>
      </c>
      <c r="I6" s="63" t="inlineStr">
        <is>
          <t>Lifestyle</t>
        </is>
      </c>
      <c r="J6" s="63" t="inlineStr">
        <is>
          <t>Toys  Games</t>
        </is>
      </c>
      <c r="K6" s="62" t="n">
        <v>381</v>
      </c>
      <c r="L6" s="63" t="inlineStr">
        <is>
          <t>Lcd Tablet Writing 8.5,10"12" Inch LCD Drawing Tablet lcd electronic writing pad drawing board for children - 8.5inch</t>
        </is>
      </c>
      <c r="M6" s="63" t="n"/>
      <c r="N6" s="79" t="n"/>
      <c r="O6" s="79" t="n"/>
      <c r="P6" s="79" t="n"/>
      <c r="Q6" s="79" t="n"/>
      <c r="R6" s="79" t="n"/>
      <c r="S6" s="79" t="n"/>
      <c r="T6" s="79" t="n"/>
      <c r="U6" s="79" t="n"/>
      <c r="V6" s="79" t="n"/>
      <c r="W6" s="79" t="n"/>
      <c r="X6" s="79" t="n"/>
      <c r="Y6" s="79" t="n"/>
      <c r="Z6" s="79" t="n"/>
    </row>
    <row r="7">
      <c r="A7" s="63" t="n"/>
      <c r="B7" s="62" t="n">
        <v>25091646625532</v>
      </c>
      <c r="C7" s="58" t="n"/>
      <c r="D7" s="65" t="n"/>
      <c r="E7" s="62" t="n">
        <v>49279</v>
      </c>
      <c r="F7" s="63" t="inlineStr">
        <is>
          <t>Asaad Zamaan</t>
        </is>
      </c>
      <c r="G7" s="60" t="n">
        <v>1830494344</v>
      </c>
      <c r="H7" s="66" t="inlineStr">
        <is>
          <t>Bagerhat</t>
        </is>
      </c>
      <c r="I7" s="63" t="inlineStr">
        <is>
          <t>FMCG</t>
        </is>
      </c>
      <c r="J7" s="63" t="inlineStr">
        <is>
          <t>Mother  Baby</t>
        </is>
      </c>
      <c r="K7" s="62" t="n">
        <v>900</v>
      </c>
      <c r="L7" s="63" t="inlineStr">
        <is>
          <t>Nestle NAN Optipro 4 350gm BIB</t>
        </is>
      </c>
      <c r="M7" s="63" t="n"/>
      <c r="N7" s="79" t="n"/>
      <c r="O7" s="79" t="n"/>
      <c r="P7" s="79" t="n"/>
      <c r="Q7" s="79" t="n"/>
      <c r="R7" s="79" t="n"/>
      <c r="S7" s="79" t="n"/>
      <c r="T7" s="79" t="n"/>
      <c r="U7" s="79" t="n"/>
      <c r="V7" s="79" t="n"/>
      <c r="W7" s="79" t="n"/>
      <c r="X7" s="79" t="n"/>
      <c r="Y7" s="79" t="n"/>
      <c r="Z7" s="79" t="n"/>
    </row>
    <row r="8">
      <c r="A8" s="63" t="n"/>
      <c r="B8" s="62" t="n">
        <v>25091650367806</v>
      </c>
      <c r="C8" s="58" t="n"/>
      <c r="D8" s="65" t="n"/>
      <c r="E8" s="62" t="n">
        <v>203379</v>
      </c>
      <c r="F8" s="63" t="inlineStr">
        <is>
          <t xml:space="preserve">Shaikh Asaduzzaman </t>
        </is>
      </c>
      <c r="G8" s="60" t="n">
        <v>1400494344</v>
      </c>
      <c r="H8" s="61" t="inlineStr">
        <is>
          <t>Bagerhat</t>
        </is>
      </c>
      <c r="I8" s="63" t="inlineStr">
        <is>
          <t>FMCG</t>
        </is>
      </c>
      <c r="J8" s="63" t="inlineStr">
        <is>
          <t>Mother  Baby</t>
        </is>
      </c>
      <c r="K8" s="62" t="n">
        <v>1800</v>
      </c>
      <c r="L8" s="63" t="inlineStr">
        <is>
          <t>Nestle NAN Optipro 4 350gm BIB</t>
        </is>
      </c>
      <c r="M8" s="63" t="n"/>
      <c r="N8" s="79" t="n"/>
      <c r="O8" s="79" t="n"/>
      <c r="P8" s="79" t="n"/>
      <c r="Q8" s="79" t="n"/>
      <c r="R8" s="79" t="n"/>
      <c r="S8" s="79" t="n"/>
      <c r="T8" s="79" t="n"/>
      <c r="U8" s="79" t="n"/>
      <c r="V8" s="79" t="n"/>
      <c r="W8" s="79" t="n"/>
      <c r="X8" s="79" t="n"/>
      <c r="Y8" s="79" t="n"/>
      <c r="Z8" s="79" t="n"/>
    </row>
    <row r="9">
      <c r="A9" s="63" t="n"/>
      <c r="B9" s="62" t="n">
        <v>25091675477160</v>
      </c>
      <c r="C9" s="58" t="n"/>
      <c r="D9" s="65" t="n"/>
      <c r="E9" s="62" t="n">
        <v>419103</v>
      </c>
      <c r="F9" s="63" t="inlineStr">
        <is>
          <t xml:space="preserve">Mr./Ms. </t>
        </is>
      </c>
      <c r="G9" s="60" t="n">
        <v>1627775288</v>
      </c>
      <c r="H9" s="66" t="inlineStr">
        <is>
          <t>Bandarban</t>
        </is>
      </c>
      <c r="I9" s="63" t="inlineStr">
        <is>
          <t>Lifestyle</t>
        </is>
      </c>
      <c r="J9" s="63" t="inlineStr">
        <is>
          <t>Motors</t>
        </is>
      </c>
      <c r="K9" s="62" t="n">
        <v>614</v>
      </c>
      <c r="L9" s="63" t="inlineStr">
        <is>
          <t>XY-P15W 15W+15W Bluetooth 5.0 Stereo Audio Power Amplifier Board</t>
        </is>
      </c>
      <c r="M9" s="63" t="n"/>
      <c r="N9" s="79" t="n"/>
      <c r="O9" s="79" t="n"/>
      <c r="P9" s="79" t="n"/>
      <c r="Q9" s="79" t="n"/>
      <c r="R9" s="79" t="n"/>
      <c r="S9" s="79" t="n"/>
      <c r="T9" s="79" t="n"/>
      <c r="U9" s="79" t="n"/>
      <c r="V9" s="79" t="n"/>
      <c r="W9" s="79" t="n"/>
      <c r="X9" s="79" t="n"/>
      <c r="Y9" s="79" t="n"/>
      <c r="Z9" s="79" t="n"/>
    </row>
    <row r="10">
      <c r="A10" s="63" t="n"/>
      <c r="B10" s="62" t="n">
        <v>25091699493447</v>
      </c>
      <c r="C10" s="58" t="n"/>
      <c r="D10" s="65" t="n"/>
      <c r="E10" s="62" t="n">
        <v>691210</v>
      </c>
      <c r="F10" s="63" t="inlineStr">
        <is>
          <t xml:space="preserve">Mr./Ms. </t>
        </is>
      </c>
      <c r="G10" s="60" t="n">
        <v>1559199832</v>
      </c>
      <c r="H10" s="61" t="inlineStr">
        <is>
          <t>Bandarban</t>
        </is>
      </c>
      <c r="I10" s="63" t="inlineStr">
        <is>
          <t>Fashion</t>
        </is>
      </c>
      <c r="J10" s="63" t="inlineStr">
        <is>
          <t>Watches Sunglasses Jewellery</t>
        </is>
      </c>
      <c r="K10" s="62" t="n">
        <v>349</v>
      </c>
      <c r="L10" s="63" t="inlineStr">
        <is>
          <t>Olevs Top Luxury Stainless Steel Analog quartz fashionable watch for men</t>
        </is>
      </c>
      <c r="M10" s="63" t="n"/>
      <c r="N10" s="79" t="n"/>
      <c r="O10" s="79" t="n"/>
      <c r="P10" s="79" t="n"/>
      <c r="Q10" s="79" t="n"/>
      <c r="R10" s="79" t="n"/>
      <c r="S10" s="79" t="n"/>
      <c r="T10" s="79" t="n"/>
      <c r="U10" s="79" t="n"/>
      <c r="V10" s="79" t="n"/>
      <c r="W10" s="79" t="n"/>
      <c r="X10" s="79" t="n"/>
      <c r="Y10" s="79" t="n"/>
      <c r="Z10" s="79" t="n"/>
    </row>
    <row r="11">
      <c r="A11" s="63" t="n"/>
      <c r="B11" s="62" t="n">
        <v>25091713960602</v>
      </c>
      <c r="C11" s="58" t="n"/>
      <c r="D11" s="65" t="n"/>
      <c r="E11" s="62" t="n">
        <v>46738</v>
      </c>
      <c r="F11" s="63" t="inlineStr">
        <is>
          <t xml:space="preserve">Mr./Ms. </t>
        </is>
      </c>
      <c r="G11" s="60" t="n">
        <v>1816307060</v>
      </c>
      <c r="H11" s="61" t="inlineStr">
        <is>
          <t>Bandarban</t>
        </is>
      </c>
      <c r="I11" s="63" t="inlineStr">
        <is>
          <t>FMCG</t>
        </is>
      </c>
      <c r="J11" s="63" t="inlineStr">
        <is>
          <t>Health  Beauty</t>
        </is>
      </c>
      <c r="K11" s="62" t="n">
        <v>949</v>
      </c>
      <c r="L11" s="63" t="inlineStr">
        <is>
          <t>Lifebuoy Handwash (Soap) Total 5L</t>
        </is>
      </c>
      <c r="M11" s="63" t="n"/>
      <c r="N11" s="79" t="n"/>
      <c r="O11" s="79" t="n"/>
      <c r="P11" s="79" t="n"/>
      <c r="Q11" s="79" t="n"/>
      <c r="R11" s="79" t="n"/>
      <c r="S11" s="79" t="n"/>
      <c r="T11" s="79" t="n"/>
      <c r="U11" s="79" t="n"/>
      <c r="V11" s="79" t="n"/>
      <c r="W11" s="79" t="n"/>
      <c r="X11" s="79" t="n"/>
      <c r="Y11" s="79" t="n"/>
      <c r="Z11" s="79" t="n"/>
    </row>
    <row r="12">
      <c r="A12" s="63" t="n"/>
      <c r="B12" s="62" t="n">
        <v>25091725515514</v>
      </c>
      <c r="C12" s="58" t="n"/>
      <c r="D12" s="65" t="n"/>
      <c r="E12" s="62" t="n">
        <v>54039</v>
      </c>
      <c r="F12" s="63" t="inlineStr">
        <is>
          <t xml:space="preserve">Rupom karmakar </t>
        </is>
      </c>
      <c r="G12" s="60" t="n">
        <v>1640695400</v>
      </c>
      <c r="H12" s="61" t="inlineStr">
        <is>
          <t>Bandarban</t>
        </is>
      </c>
      <c r="I12" s="63" t="inlineStr">
        <is>
          <t>FMCG</t>
        </is>
      </c>
      <c r="J12" s="63" t="inlineStr">
        <is>
          <t>Health  Beauty</t>
        </is>
      </c>
      <c r="K12" s="62" t="n">
        <v>261</v>
      </c>
      <c r="L12" s="63" t="inlineStr">
        <is>
          <t>Closeup Toothpaste Menthol Fresh 85g</t>
        </is>
      </c>
      <c r="M12" s="63" t="n"/>
      <c r="N12" s="79" t="n"/>
      <c r="O12" s="79" t="n"/>
      <c r="P12" s="79" t="n"/>
      <c r="Q12" s="79" t="n"/>
      <c r="R12" s="79" t="n"/>
      <c r="S12" s="79" t="n"/>
      <c r="T12" s="79" t="n"/>
      <c r="U12" s="79" t="n"/>
      <c r="V12" s="79" t="n"/>
      <c r="W12" s="79" t="n"/>
      <c r="X12" s="79" t="n"/>
      <c r="Y12" s="79" t="n"/>
      <c r="Z12" s="79" t="n"/>
    </row>
    <row r="13">
      <c r="A13" s="63" t="n"/>
      <c r="B13" s="62" t="n">
        <v>25091627946014</v>
      </c>
      <c r="C13" s="67" t="inlineStr">
        <is>
          <t>Mir Ahsan Abid</t>
        </is>
      </c>
      <c r="D13" s="63" t="n"/>
      <c r="E13" s="62" t="n">
        <v>80028</v>
      </c>
      <c r="F13" s="63" t="inlineStr">
        <is>
          <t xml:space="preserve">Mr./Ms. </t>
        </is>
      </c>
      <c r="G13" s="60" t="n">
        <v>1732470245</v>
      </c>
      <c r="H13" s="61" t="inlineStr">
        <is>
          <t>Barguna</t>
        </is>
      </c>
      <c r="I13" s="63" t="inlineStr">
        <is>
          <t>Electronics</t>
        </is>
      </c>
      <c r="J13" s="63" t="inlineStr">
        <is>
          <t>Mobiles  Tablets</t>
        </is>
      </c>
      <c r="K13" s="62" t="n">
        <v>113</v>
      </c>
      <c r="L13" s="63" t="inlineStr">
        <is>
          <t>For Oppo A31 2020 Privacy Screen Protector, No Spy No Seen</t>
        </is>
      </c>
      <c r="M13" s="63" t="inlineStr">
        <is>
          <t xml:space="preserve">Connected </t>
        </is>
      </c>
      <c r="N13" s="79" t="inlineStr">
        <is>
          <t>Yes</t>
        </is>
      </c>
      <c r="O13" s="79" t="inlineStr">
        <is>
          <t>On time</t>
        </is>
      </c>
      <c r="P13" s="79" t="n"/>
      <c r="Q13" s="79" t="n"/>
      <c r="R13" s="79" t="inlineStr">
        <is>
          <t>Very polite</t>
        </is>
      </c>
      <c r="S13" s="79" t="inlineStr">
        <is>
          <t>Not Damaged</t>
        </is>
      </c>
      <c r="T13" s="79" t="inlineStr">
        <is>
          <t>Didn't check</t>
        </is>
      </c>
      <c r="U13" s="79" t="n"/>
      <c r="V13" s="79" t="n"/>
      <c r="W13" s="79" t="n">
        <v>9</v>
      </c>
      <c r="X13" s="79" t="n"/>
      <c r="Y13" s="79" t="inlineStr">
        <is>
          <t>Positive</t>
        </is>
      </c>
      <c r="Z13" s="79" t="n"/>
    </row>
    <row r="14">
      <c r="A14" s="63" t="n"/>
      <c r="B14" s="62" t="n">
        <v>25091631479535</v>
      </c>
      <c r="C14" s="58" t="n"/>
      <c r="D14" s="63" t="n"/>
      <c r="E14" s="62" t="n">
        <v>676393</v>
      </c>
      <c r="F14" s="63" t="inlineStr">
        <is>
          <t xml:space="preserve">Nayon Karmoker Duruk </t>
        </is>
      </c>
      <c r="G14" s="60" t="n">
        <v>1922777408</v>
      </c>
      <c r="H14" s="61" t="inlineStr">
        <is>
          <t>Barguna</t>
        </is>
      </c>
      <c r="I14" s="63" t="inlineStr">
        <is>
          <t>FMCG</t>
        </is>
      </c>
      <c r="J14" s="63" t="inlineStr">
        <is>
          <t>Health  Beauty</t>
        </is>
      </c>
      <c r="K14" s="62" t="n">
        <v>295</v>
      </c>
      <c r="L14" s="63" t="inlineStr">
        <is>
          <t>T9 Vintage USB Rechargeable Hair Trimmer Metal Body with Type-C Fast Charging Port</t>
        </is>
      </c>
      <c r="M14" s="63" t="n"/>
      <c r="N14" s="79" t="n"/>
      <c r="O14" s="79" t="n"/>
      <c r="P14" s="79" t="n"/>
      <c r="Q14" s="79" t="n"/>
      <c r="R14" s="79" t="n"/>
      <c r="S14" s="79" t="n"/>
      <c r="T14" s="79" t="n"/>
      <c r="U14" s="79" t="n"/>
      <c r="V14" s="79" t="n"/>
      <c r="W14" s="79" t="n"/>
      <c r="X14" s="79" t="n"/>
      <c r="Y14" s="79" t="n"/>
      <c r="Z14" s="79" t="n"/>
    </row>
    <row r="15">
      <c r="A15" s="63" t="n"/>
      <c r="B15" s="62" t="n">
        <v>25091657195039</v>
      </c>
      <c r="C15" s="58" t="n"/>
      <c r="D15" s="65" t="n"/>
      <c r="E15" s="62" t="n">
        <v>391164</v>
      </c>
      <c r="F15" s="63" t="inlineStr">
        <is>
          <t xml:space="preserve">Mr./Ms. </t>
        </is>
      </c>
      <c r="G15" s="60" t="n">
        <v>1742625416</v>
      </c>
      <c r="H15" s="66" t="inlineStr">
        <is>
          <t>Barguna</t>
        </is>
      </c>
      <c r="I15" s="63" t="inlineStr">
        <is>
          <t>Lifestyle</t>
        </is>
      </c>
      <c r="J15" s="63" t="inlineStr">
        <is>
          <t>Toys  Games</t>
        </is>
      </c>
      <c r="K15" s="62" t="n">
        <v>235</v>
      </c>
      <c r="L15" s="63" t="inlineStr">
        <is>
          <t>Magic Slate or Drawing Board for kids - Magic Book</t>
        </is>
      </c>
      <c r="M15" s="63" t="n"/>
      <c r="N15" s="79" t="n"/>
      <c r="O15" s="79" t="n"/>
      <c r="P15" s="79" t="n"/>
      <c r="Q15" s="79" t="n"/>
      <c r="R15" s="79" t="n"/>
      <c r="S15" s="79" t="n"/>
      <c r="T15" s="79" t="n"/>
      <c r="U15" s="79" t="n"/>
      <c r="V15" s="79" t="n"/>
      <c r="W15" s="79" t="n"/>
      <c r="X15" s="79" t="n"/>
      <c r="Y15" s="79" t="n"/>
      <c r="Z15" s="79" t="n"/>
    </row>
    <row r="16">
      <c r="A16" s="63" t="n"/>
      <c r="B16" s="62" t="n">
        <v>25091692992109</v>
      </c>
      <c r="C16" s="58" t="n"/>
      <c r="D16" s="65" t="n"/>
      <c r="E16" s="62" t="n">
        <v>356047</v>
      </c>
      <c r="F16" s="63" t="inlineStr">
        <is>
          <t>Aunna Islam</t>
        </is>
      </c>
      <c r="G16" s="60" t="n">
        <v>1966326983</v>
      </c>
      <c r="H16" s="61" t="inlineStr">
        <is>
          <t>Barguna</t>
        </is>
      </c>
      <c r="I16" s="63" t="inlineStr">
        <is>
          <t>FMCG</t>
        </is>
      </c>
      <c r="J16" s="63" t="inlineStr">
        <is>
          <t>Groceries</t>
        </is>
      </c>
      <c r="K16" s="62" t="n">
        <v>45</v>
      </c>
      <c r="L16" s="63" t="inlineStr">
        <is>
          <t>Ruchi Chanachur BBQ - 150gm</t>
        </is>
      </c>
      <c r="M16" s="63" t="n"/>
      <c r="N16" s="79" t="n"/>
      <c r="O16" s="79" t="n"/>
      <c r="P16" s="79" t="n"/>
      <c r="Q16" s="79" t="n"/>
      <c r="R16" s="79" t="n"/>
      <c r="S16" s="79" t="n"/>
      <c r="T16" s="79" t="n"/>
      <c r="U16" s="79" t="n"/>
      <c r="V16" s="79" t="n"/>
      <c r="W16" s="79" t="n"/>
      <c r="X16" s="79" t="n"/>
      <c r="Y16" s="79" t="n"/>
      <c r="Z16" s="79" t="n"/>
    </row>
    <row r="17">
      <c r="A17" s="63" t="n"/>
      <c r="B17" s="62" t="n">
        <v>25091617410730</v>
      </c>
      <c r="C17" s="67" t="inlineStr">
        <is>
          <t>Mir Ahsan Abid</t>
        </is>
      </c>
      <c r="D17" s="63" t="n"/>
      <c r="E17" s="62" t="n">
        <v>405652</v>
      </c>
      <c r="F17" s="63" t="inlineStr">
        <is>
          <t>MD Hafejur Akon</t>
        </is>
      </c>
      <c r="G17" s="60" t="n">
        <v>1799760257</v>
      </c>
      <c r="H17" s="61" t="inlineStr">
        <is>
          <t>Barisal</t>
        </is>
      </c>
      <c r="I17" s="63" t="inlineStr">
        <is>
          <t>Fashion</t>
        </is>
      </c>
      <c r="J17" s="63" t="inlineStr">
        <is>
          <t>Fashion</t>
        </is>
      </c>
      <c r="K17" s="62" t="n">
        <v>224</v>
      </c>
      <c r="L17" s="63" t="inlineStr">
        <is>
          <t>Exclusive cotton polo t shirt for men-polo shirt</t>
        </is>
      </c>
      <c r="M17" s="63" t="inlineStr">
        <is>
          <t>Not Connected</t>
        </is>
      </c>
      <c r="N17" s="79" t="n"/>
      <c r="O17" s="79" t="n"/>
      <c r="P17" s="79" t="n"/>
      <c r="Q17" s="79" t="n"/>
      <c r="R17" s="79" t="n"/>
      <c r="S17" s="79" t="n"/>
      <c r="T17" s="79" t="n"/>
      <c r="U17" s="79" t="n"/>
      <c r="V17" s="79" t="n"/>
      <c r="W17" s="79" t="n"/>
      <c r="X17" s="79" t="n"/>
      <c r="Y17" s="79" t="n"/>
      <c r="Z17" s="79" t="n"/>
    </row>
    <row r="18">
      <c r="A18" s="63" t="n"/>
      <c r="B18" s="62" t="n">
        <v>25091618177518</v>
      </c>
      <c r="C18" s="67" t="inlineStr">
        <is>
          <t>Mir Ahsan Abid</t>
        </is>
      </c>
      <c r="D18" s="63" t="n"/>
      <c r="E18" s="62" t="n">
        <v>650201</v>
      </c>
      <c r="F18" s="63" t="inlineStr">
        <is>
          <t xml:space="preserve">Subro Karmoker </t>
        </is>
      </c>
      <c r="G18" s="60" t="n">
        <v>1935710250</v>
      </c>
      <c r="H18" s="61" t="inlineStr">
        <is>
          <t>Barisal</t>
        </is>
      </c>
      <c r="I18" s="63" t="inlineStr">
        <is>
          <t>Electronics</t>
        </is>
      </c>
      <c r="J18" s="63" t="inlineStr">
        <is>
          <t>Mobiles  Tablets</t>
        </is>
      </c>
      <c r="K18" s="62" t="n">
        <v>30</v>
      </c>
      <c r="L18" s="63" t="inlineStr">
        <is>
          <t>CASIFY Silicone Ring Strap For Mobile Phone Case Black 1 Piece</t>
        </is>
      </c>
      <c r="M18" s="63" t="inlineStr">
        <is>
          <t>Not Connected</t>
        </is>
      </c>
      <c r="N18" s="79" t="n"/>
      <c r="O18" s="79" t="n"/>
      <c r="P18" s="79" t="n"/>
      <c r="Q18" s="79" t="n"/>
      <c r="R18" s="79" t="n"/>
      <c r="S18" s="79" t="n"/>
      <c r="T18" s="79" t="n"/>
      <c r="U18" s="79" t="n"/>
      <c r="V18" s="79" t="n"/>
      <c r="W18" s="79" t="n"/>
      <c r="X18" s="79" t="n"/>
      <c r="Y18" s="79" t="n"/>
      <c r="Z18" s="79" t="n"/>
    </row>
    <row r="19">
      <c r="A19" s="63" t="n"/>
      <c r="B19" s="62" t="n">
        <v>25091624697903</v>
      </c>
      <c r="C19" s="67" t="inlineStr">
        <is>
          <t>Mir Ahsan Abid</t>
        </is>
      </c>
      <c r="D19" s="63" t="n"/>
      <c r="E19" s="62" t="n">
        <v>655516</v>
      </c>
      <c r="F19" s="63" t="inlineStr">
        <is>
          <t xml:space="preserve">মাছুম আহমাদ সুমন </t>
        </is>
      </c>
      <c r="G19" s="60" t="n">
        <v>1737087601</v>
      </c>
      <c r="H19" s="66" t="inlineStr">
        <is>
          <t>Barisal</t>
        </is>
      </c>
      <c r="I19" s="63" t="inlineStr">
        <is>
          <t>Electronics</t>
        </is>
      </c>
      <c r="J19" s="63" t="inlineStr">
        <is>
          <t>Mobiles  Tablets</t>
        </is>
      </c>
      <c r="K19" s="62" t="n">
        <v>174</v>
      </c>
      <c r="L19" s="63" t="inlineStr">
        <is>
          <t>BATTERY For NOKIA E52 E55 E6 E63 E71 E72 E73 E90 N97 6650T N810 BP-4L</t>
        </is>
      </c>
      <c r="M19" s="63" t="inlineStr">
        <is>
          <t xml:space="preserve">Connected </t>
        </is>
      </c>
      <c r="N19" s="79" t="inlineStr">
        <is>
          <t>Yes</t>
        </is>
      </c>
      <c r="O19" s="79" t="inlineStr">
        <is>
          <t>On time</t>
        </is>
      </c>
      <c r="P19" s="79" t="n"/>
      <c r="Q19" s="79" t="n"/>
      <c r="R19" s="79" t="inlineStr">
        <is>
          <t>Neutral</t>
        </is>
      </c>
      <c r="S19" s="79" t="inlineStr">
        <is>
          <t>Not Damaged</t>
        </is>
      </c>
      <c r="T19" s="79" t="inlineStr">
        <is>
          <t>Didn't check</t>
        </is>
      </c>
      <c r="U19" s="79" t="n"/>
      <c r="V19" s="79" t="n"/>
      <c r="W19" s="79" t="n">
        <v>9</v>
      </c>
      <c r="X19" s="79" t="n"/>
      <c r="Y19" s="79" t="inlineStr">
        <is>
          <t>Positive</t>
        </is>
      </c>
      <c r="Z19" s="79" t="n"/>
    </row>
    <row r="20">
      <c r="A20" s="63" t="n"/>
      <c r="B20" s="62" t="n">
        <v>25091648415320</v>
      </c>
      <c r="C20" s="58" t="n"/>
      <c r="D20" s="65" t="n"/>
      <c r="E20" s="62" t="n">
        <v>563491</v>
      </c>
      <c r="F20" s="63" t="inlineStr">
        <is>
          <t xml:space="preserve">Sajib Mridha </t>
        </is>
      </c>
      <c r="G20" s="60" t="n">
        <v>1717504920</v>
      </c>
      <c r="H20" s="66" t="inlineStr">
        <is>
          <t>Barisal</t>
        </is>
      </c>
      <c r="I20" s="63" t="inlineStr">
        <is>
          <t>FMCG</t>
        </is>
      </c>
      <c r="J20" s="63" t="inlineStr">
        <is>
          <t>Groceries</t>
        </is>
      </c>
      <c r="K20" s="62" t="n">
        <v>255</v>
      </c>
      <c r="L20" s="63" t="inlineStr">
        <is>
          <t>Fresh Mustard Oil - 1ltr</t>
        </is>
      </c>
      <c r="M20" s="63" t="n"/>
      <c r="N20" s="79" t="n"/>
      <c r="O20" s="79" t="n"/>
      <c r="P20" s="79" t="n"/>
      <c r="Q20" s="79" t="n"/>
      <c r="R20" s="79" t="n"/>
      <c r="S20" s="79" t="n"/>
      <c r="T20" s="79" t="n"/>
      <c r="U20" s="79" t="n"/>
      <c r="V20" s="79" t="n"/>
      <c r="W20" s="79" t="n"/>
      <c r="X20" s="79" t="n"/>
      <c r="Y20" s="79" t="n"/>
      <c r="Z20" s="79" t="n"/>
    </row>
    <row r="21">
      <c r="A21" s="63" t="n"/>
      <c r="B21" s="62" t="n">
        <v>25091617836964</v>
      </c>
      <c r="C21" s="67" t="inlineStr">
        <is>
          <t>Mir Ahsan Abid</t>
        </is>
      </c>
      <c r="D21" s="63" t="n"/>
      <c r="E21" s="62" t="n">
        <v>679234</v>
      </c>
      <c r="F21" s="63" t="inlineStr">
        <is>
          <t xml:space="preserve">Mr./Ms. </t>
        </is>
      </c>
      <c r="G21" s="60" t="n">
        <v>1787031913</v>
      </c>
      <c r="H21" s="66" t="inlineStr">
        <is>
          <t>Bhola</t>
        </is>
      </c>
      <c r="I21" s="63" t="inlineStr">
        <is>
          <t>Lifestyle</t>
        </is>
      </c>
      <c r="J21" s="63" t="inlineStr">
        <is>
          <t>Tools, DIY  Outdoor</t>
        </is>
      </c>
      <c r="K21" s="62" t="n">
        <v>176</v>
      </c>
      <c r="L21" s="63" t="inlineStr">
        <is>
          <t>Soldering Tools Kit Combo (soldering wire+Paste + Loson Liquid 3 in 1 )</t>
        </is>
      </c>
      <c r="M21" s="63" t="inlineStr">
        <is>
          <t>Not Connected</t>
        </is>
      </c>
      <c r="N21" s="79" t="n"/>
      <c r="O21" s="79" t="n"/>
      <c r="P21" s="79" t="n"/>
      <c r="Q21" s="79" t="n"/>
      <c r="R21" s="79" t="n"/>
      <c r="S21" s="79" t="n"/>
      <c r="T21" s="79" t="n"/>
      <c r="U21" s="79" t="n"/>
      <c r="V21" s="79" t="n"/>
      <c r="W21" s="79" t="n"/>
      <c r="X21" s="79" t="n"/>
      <c r="Y21" s="79" t="n"/>
      <c r="Z21" s="79" t="n"/>
    </row>
    <row r="22">
      <c r="A22" s="63" t="n"/>
      <c r="B22" s="62" t="n">
        <v>25091634420798</v>
      </c>
      <c r="C22" s="58" t="n"/>
      <c r="D22" s="63" t="n"/>
      <c r="E22" s="62" t="n">
        <v>683856</v>
      </c>
      <c r="F22" s="63" t="inlineStr">
        <is>
          <t xml:space="preserve">Saurav Howlader </t>
        </is>
      </c>
      <c r="G22" s="60" t="n">
        <v>1727097155</v>
      </c>
      <c r="H22" s="61" t="inlineStr">
        <is>
          <t>Bhola</t>
        </is>
      </c>
      <c r="I22" s="63" t="inlineStr">
        <is>
          <t>Lifestyle</t>
        </is>
      </c>
      <c r="J22" s="63" t="inlineStr">
        <is>
          <t>Kitchen  Dining</t>
        </is>
      </c>
      <c r="K22" s="62" t="n">
        <v>240</v>
      </c>
      <c r="L22" s="63" t="inlineStr">
        <is>
          <t>First Deal Best Quality Digital Scale 10kg 1g Household Weight Scales Platform Electronic Balance Kitchen scale Baking Measure Food Cooking Tools</t>
        </is>
      </c>
      <c r="M22" s="63" t="n"/>
      <c r="N22" s="79" t="n"/>
      <c r="O22" s="79" t="n"/>
      <c r="P22" s="79" t="n"/>
      <c r="Q22" s="79" t="n"/>
      <c r="R22" s="79" t="n"/>
      <c r="S22" s="79" t="n"/>
      <c r="T22" s="79" t="n"/>
      <c r="U22" s="79" t="n"/>
      <c r="V22" s="79" t="n"/>
      <c r="W22" s="79" t="n"/>
      <c r="X22" s="79" t="n"/>
      <c r="Y22" s="79" t="n"/>
      <c r="Z22" s="79" t="n"/>
    </row>
    <row r="23">
      <c r="A23" s="63" t="n"/>
      <c r="B23" s="62" t="n">
        <v>25091716613094</v>
      </c>
      <c r="C23" s="58" t="n"/>
      <c r="D23" s="65" t="n"/>
      <c r="E23" s="62" t="n">
        <v>346077</v>
      </c>
      <c r="F23" s="63" t="inlineStr">
        <is>
          <t xml:space="preserve">Md Jihad </t>
        </is>
      </c>
      <c r="G23" s="60" t="n">
        <v>1936755031</v>
      </c>
      <c r="H23" s="61" t="inlineStr">
        <is>
          <t>Bhola</t>
        </is>
      </c>
      <c r="I23" s="63" t="inlineStr">
        <is>
          <t>Lifestyle</t>
        </is>
      </c>
      <c r="J23" s="63" t="inlineStr">
        <is>
          <t>Furniture  Decor</t>
        </is>
      </c>
      <c r="K23" s="62" t="n">
        <v>86</v>
      </c>
      <c r="L23" s="63" t="inlineStr">
        <is>
          <t>Doormat - Papos - 3Pcs</t>
        </is>
      </c>
      <c r="M23" s="63" t="n"/>
      <c r="N23" s="79" t="n"/>
      <c r="O23" s="79" t="n"/>
      <c r="P23" s="79" t="n"/>
      <c r="Q23" s="79" t="n"/>
      <c r="R23" s="79" t="n"/>
      <c r="S23" s="79" t="n"/>
      <c r="T23" s="79" t="n"/>
      <c r="U23" s="79" t="n"/>
      <c r="V23" s="79" t="n"/>
      <c r="W23" s="79" t="n"/>
      <c r="X23" s="79" t="n"/>
      <c r="Y23" s="79" t="n"/>
      <c r="Z23" s="79" t="n"/>
    </row>
    <row r="24">
      <c r="A24" s="63" t="n"/>
      <c r="B24" s="62" t="n">
        <v>25091726774620</v>
      </c>
      <c r="C24" s="58" t="n"/>
      <c r="D24" s="65" t="n"/>
      <c r="E24" s="62" t="n">
        <v>346077</v>
      </c>
      <c r="F24" s="63" t="inlineStr">
        <is>
          <t xml:space="preserve">Md Jihad </t>
        </is>
      </c>
      <c r="G24" s="60" t="n">
        <v>1936755031</v>
      </c>
      <c r="H24" s="61" t="inlineStr">
        <is>
          <t>Bhola</t>
        </is>
      </c>
      <c r="I24" s="63" t="inlineStr">
        <is>
          <t>Lifestyle</t>
        </is>
      </c>
      <c r="J24" s="63" t="inlineStr">
        <is>
          <t>Furniture  Decor</t>
        </is>
      </c>
      <c r="K24" s="62" t="n">
        <v>86</v>
      </c>
      <c r="L24" s="63" t="inlineStr">
        <is>
          <t>Doormat - Papos - 3Pcs</t>
        </is>
      </c>
      <c r="M24" s="63" t="n"/>
      <c r="N24" s="79" t="n"/>
      <c r="O24" s="79" t="n"/>
      <c r="P24" s="79" t="n"/>
      <c r="Q24" s="79" t="n"/>
      <c r="R24" s="79" t="n"/>
      <c r="S24" s="79" t="n"/>
      <c r="T24" s="79" t="n"/>
      <c r="U24" s="79" t="n"/>
      <c r="V24" s="79" t="n"/>
      <c r="W24" s="79" t="n"/>
      <c r="X24" s="79" t="n"/>
      <c r="Y24" s="79" t="n"/>
      <c r="Z24" s="79" t="n"/>
    </row>
    <row r="25">
      <c r="A25" s="63" t="n"/>
      <c r="B25" s="62" t="n">
        <v>25091612030176</v>
      </c>
      <c r="C25" s="67" t="inlineStr">
        <is>
          <t>Mir Ahsan Abid</t>
        </is>
      </c>
      <c r="D25" s="63" t="n"/>
      <c r="E25" s="62" t="n">
        <v>622704</v>
      </c>
      <c r="F25" s="63" t="inlineStr">
        <is>
          <t xml:space="preserve">Nazmul Hossain </t>
        </is>
      </c>
      <c r="G25" s="60" t="n">
        <v>1738123652</v>
      </c>
      <c r="H25" s="61" t="inlineStr">
        <is>
          <t>Bogra</t>
        </is>
      </c>
      <c r="I25" s="63" t="inlineStr">
        <is>
          <t>FMCG</t>
        </is>
      </c>
      <c r="J25" s="63" t="inlineStr">
        <is>
          <t>Groceries</t>
        </is>
      </c>
      <c r="K25" s="62" t="n">
        <v>715</v>
      </c>
      <c r="L25" s="63" t="inlineStr">
        <is>
          <t>Ruchi Chutney Mixed - 450gm</t>
        </is>
      </c>
      <c r="M25" s="63" t="inlineStr">
        <is>
          <t>Not Connected</t>
        </is>
      </c>
      <c r="N25" s="79" t="n"/>
      <c r="O25" s="79" t="n"/>
      <c r="P25" s="79" t="n"/>
      <c r="Q25" s="79" t="n"/>
      <c r="R25" s="79" t="n"/>
      <c r="S25" s="79" t="n"/>
      <c r="T25" s="79" t="n"/>
      <c r="U25" s="79" t="n"/>
      <c r="V25" s="79" t="n"/>
      <c r="W25" s="79" t="n"/>
      <c r="X25" s="79" t="n"/>
      <c r="Y25" s="79" t="n"/>
      <c r="Z25" s="79" t="n"/>
    </row>
    <row r="26">
      <c r="A26" s="63" t="n"/>
      <c r="B26" s="62" t="n">
        <v>25091620675029</v>
      </c>
      <c r="C26" s="67" t="inlineStr">
        <is>
          <t>Mir Ahsan Abid</t>
        </is>
      </c>
      <c r="D26" s="63" t="n"/>
      <c r="E26" s="62" t="n">
        <v>691821</v>
      </c>
      <c r="F26" s="63" t="inlineStr">
        <is>
          <t xml:space="preserve">Mr./Ms. </t>
        </is>
      </c>
      <c r="G26" s="60" t="n">
        <v>1773340597</v>
      </c>
      <c r="H26" s="61" t="inlineStr">
        <is>
          <t>Bogra</t>
        </is>
      </c>
      <c r="I26" s="63" t="inlineStr">
        <is>
          <t>Electronics</t>
        </is>
      </c>
      <c r="J26" s="63" t="inlineStr">
        <is>
          <t>Mobiles  Tablets</t>
        </is>
      </c>
      <c r="K26" s="62" t="n">
        <v>95</v>
      </c>
      <c r="L26" s="63" t="inlineStr">
        <is>
          <t>For Xiaomi Redmi A3 Edge-Reinforced Shockproof Cushion Back Clear Hybrid Transparent Hard Cover Casing</t>
        </is>
      </c>
      <c r="M26" s="63" t="inlineStr">
        <is>
          <t xml:space="preserve">Connected </t>
        </is>
      </c>
      <c r="N26" s="79" t="inlineStr">
        <is>
          <t>Yes</t>
        </is>
      </c>
      <c r="O26" s="79" t="inlineStr">
        <is>
          <t>On time</t>
        </is>
      </c>
      <c r="P26" s="79" t="n"/>
      <c r="Q26" s="79" t="n"/>
      <c r="R26" s="79" t="inlineStr">
        <is>
          <t>Neutral</t>
        </is>
      </c>
      <c r="S26" s="79" t="inlineStr">
        <is>
          <t>Not Damaged</t>
        </is>
      </c>
      <c r="T26" s="79" t="inlineStr">
        <is>
          <t>Yes</t>
        </is>
      </c>
      <c r="U26" s="79" t="n"/>
      <c r="V26" s="79" t="n"/>
      <c r="W26" s="79" t="n">
        <v>8</v>
      </c>
      <c r="X26" s="79" t="n"/>
      <c r="Y26" s="79" t="inlineStr">
        <is>
          <t>Neutral</t>
        </is>
      </c>
      <c r="Z26" s="79" t="n"/>
    </row>
    <row r="27">
      <c r="A27" s="63" t="n"/>
      <c r="B27" s="62" t="n">
        <v>25091631925637</v>
      </c>
      <c r="C27" s="58" t="n"/>
      <c r="D27" s="63" t="n"/>
      <c r="E27" s="62" t="n">
        <v>686959</v>
      </c>
      <c r="F27" s="63" t="inlineStr">
        <is>
          <t>Wa Sick</t>
        </is>
      </c>
      <c r="G27" s="60" t="n">
        <v>1723273838</v>
      </c>
      <c r="H27" s="61" t="inlineStr">
        <is>
          <t>Bogra</t>
        </is>
      </c>
      <c r="I27" s="63" t="inlineStr">
        <is>
          <t>Electronics</t>
        </is>
      </c>
      <c r="J27" s="63" t="inlineStr">
        <is>
          <t>Mobiles  Tablets</t>
        </is>
      </c>
      <c r="K27" s="62" t="n">
        <v>149</v>
      </c>
      <c r="L27" s="63" t="inlineStr">
        <is>
          <t>For OnePlus Nord CE 4 Lite ( 1+ Nord CE 4 Lite ) Ultrathin Leather Grain TPU Design Anti-Fingerprint Protect Cover Phone Cases Mobile Cover</t>
        </is>
      </c>
      <c r="M27" s="63" t="n"/>
      <c r="N27" s="79" t="n"/>
      <c r="O27" s="79" t="n"/>
      <c r="P27" s="79" t="n"/>
      <c r="Q27" s="79" t="n"/>
      <c r="R27" s="79" t="n"/>
      <c r="S27" s="79" t="n"/>
      <c r="T27" s="79" t="n"/>
      <c r="U27" s="79" t="n"/>
      <c r="V27" s="79" t="n"/>
      <c r="W27" s="79" t="n"/>
      <c r="X27" s="79" t="n"/>
      <c r="Y27" s="79" t="n"/>
      <c r="Z27" s="79" t="n"/>
    </row>
    <row r="28">
      <c r="A28" s="63" t="n"/>
      <c r="B28" s="62" t="n">
        <v>25091633535704</v>
      </c>
      <c r="C28" s="58" t="n"/>
      <c r="D28" s="63" t="n"/>
      <c r="E28" s="62" t="n">
        <v>572310</v>
      </c>
      <c r="F28" s="63" t="inlineStr">
        <is>
          <t xml:space="preserve">Md Nirob </t>
        </is>
      </c>
      <c r="G28" s="60" t="n">
        <v>1306815075</v>
      </c>
      <c r="H28" s="66" t="inlineStr">
        <is>
          <t>Bogra</t>
        </is>
      </c>
      <c r="I28" s="63" t="inlineStr">
        <is>
          <t>Fashion</t>
        </is>
      </c>
      <c r="J28" s="63" t="inlineStr">
        <is>
          <t>Bags and Travel</t>
        </is>
      </c>
      <c r="K28" s="62" t="n">
        <v>315</v>
      </c>
      <c r="L28" s="63" t="inlineStr">
        <is>
          <t>Chest Bag Fashion New Solid Color Men Chest Bag Outdoor Casual Fashion One Shoulder Crossbody Bag</t>
        </is>
      </c>
      <c r="M28" s="63" t="n"/>
      <c r="N28" s="79" t="n"/>
      <c r="O28" s="79" t="n"/>
      <c r="P28" s="79" t="n"/>
      <c r="Q28" s="79" t="n"/>
      <c r="R28" s="79" t="n"/>
      <c r="S28" s="79" t="n"/>
      <c r="T28" s="79" t="n"/>
      <c r="U28" s="79" t="n"/>
      <c r="V28" s="79" t="n"/>
      <c r="W28" s="79" t="n"/>
      <c r="X28" s="79" t="n"/>
      <c r="Y28" s="79" t="n"/>
      <c r="Z28" s="79" t="n"/>
    </row>
    <row r="29">
      <c r="A29" s="63" t="n"/>
      <c r="B29" s="62" t="n">
        <v>25091611937385</v>
      </c>
      <c r="C29" s="67" t="inlineStr">
        <is>
          <t>Mir Ahsan Abid</t>
        </is>
      </c>
      <c r="D29" s="63" t="n"/>
      <c r="E29" s="62" t="n">
        <v>381828</v>
      </c>
      <c r="F29" s="63" t="inlineStr">
        <is>
          <t xml:space="preserve">Mr./Ms. </t>
        </is>
      </c>
      <c r="G29" s="60" t="n">
        <v>1671969059</v>
      </c>
      <c r="H29" s="61" t="inlineStr">
        <is>
          <t>Brahman Baria</t>
        </is>
      </c>
      <c r="I29" s="63" t="inlineStr">
        <is>
          <t>FMCG</t>
        </is>
      </c>
      <c r="J29" s="63" t="inlineStr">
        <is>
          <t>Health  Beauty</t>
        </is>
      </c>
      <c r="K29" s="62" t="n">
        <v>316</v>
      </c>
      <c r="L29" s="63" t="inlineStr">
        <is>
          <t>Fresh Anonna Sanitary Napkin 290 Wings Heavy Flow 15 Pads (Buy 15 Pads get 8 Pads Free)</t>
        </is>
      </c>
      <c r="M29" s="63" t="inlineStr">
        <is>
          <t>Not Connected</t>
        </is>
      </c>
      <c r="N29" s="79" t="n"/>
      <c r="O29" s="79" t="n"/>
      <c r="P29" s="79" t="n"/>
      <c r="Q29" s="79" t="n"/>
      <c r="R29" s="79" t="n"/>
      <c r="S29" s="79" t="n"/>
      <c r="T29" s="79" t="n"/>
      <c r="U29" s="68" t="n"/>
      <c r="V29" s="79" t="n"/>
      <c r="W29" s="79" t="n"/>
      <c r="X29" s="68" t="n"/>
      <c r="Y29" s="79" t="n"/>
      <c r="Z29" s="79" t="n"/>
    </row>
    <row r="30">
      <c r="A30" s="63" t="n"/>
      <c r="B30" s="62" t="n">
        <v>25091621127493</v>
      </c>
      <c r="C30" s="67" t="inlineStr">
        <is>
          <t>Mir Ahsan Abid</t>
        </is>
      </c>
      <c r="D30" s="63" t="n"/>
      <c r="E30" s="62" t="n">
        <v>7611</v>
      </c>
      <c r="F30" s="63" t="inlineStr">
        <is>
          <t xml:space="preserve">Mahedi Hasan </t>
        </is>
      </c>
      <c r="G30" s="60" t="n">
        <v>1324732016</v>
      </c>
      <c r="H30" s="61" t="inlineStr">
        <is>
          <t>Brahman Baria</t>
        </is>
      </c>
      <c r="I30" s="63" t="inlineStr">
        <is>
          <t>FMCG</t>
        </is>
      </c>
      <c r="J30" s="63" t="inlineStr">
        <is>
          <t>Health  Beauty</t>
        </is>
      </c>
      <c r="K30" s="62" t="n">
        <v>925</v>
      </c>
      <c r="L30" s="63" t="inlineStr">
        <is>
          <t>Parachute Coconut Oil 200ml</t>
        </is>
      </c>
      <c r="M30" s="63" t="inlineStr">
        <is>
          <t xml:space="preserve">Connected </t>
        </is>
      </c>
      <c r="N30" s="79" t="inlineStr">
        <is>
          <t>Yes</t>
        </is>
      </c>
      <c r="O30" s="79" t="inlineStr">
        <is>
          <t>On time</t>
        </is>
      </c>
      <c r="P30" s="79" t="n"/>
      <c r="Q30" s="79" t="n"/>
      <c r="R30" s="79" t="inlineStr">
        <is>
          <t>Very polite</t>
        </is>
      </c>
      <c r="S30" s="79" t="inlineStr">
        <is>
          <t>Not Damaged</t>
        </is>
      </c>
      <c r="T30" s="79" t="inlineStr">
        <is>
          <t>Didn't check</t>
        </is>
      </c>
      <c r="U30" s="79" t="n"/>
      <c r="V30" s="79" t="n"/>
      <c r="W30" s="79" t="n">
        <v>10</v>
      </c>
      <c r="X30" s="79" t="n"/>
      <c r="Y30" s="79" t="inlineStr">
        <is>
          <t>Positive</t>
        </is>
      </c>
      <c r="Z30" s="79" t="n"/>
    </row>
    <row r="31">
      <c r="A31" s="63" t="n"/>
      <c r="B31" s="62" t="n">
        <v>25091622522703</v>
      </c>
      <c r="C31" s="67" t="inlineStr">
        <is>
          <t>Mir Ahsan Abid</t>
        </is>
      </c>
      <c r="D31" s="63" t="n"/>
      <c r="E31" s="62" t="n">
        <v>7723</v>
      </c>
      <c r="F31" s="63" t="inlineStr">
        <is>
          <t xml:space="preserve">Mahedi Hasan </t>
        </is>
      </c>
      <c r="G31" s="60" t="n">
        <v>1324732016</v>
      </c>
      <c r="H31" s="61" t="inlineStr">
        <is>
          <t>Brahman Baria</t>
        </is>
      </c>
      <c r="I31" s="63" t="inlineStr">
        <is>
          <t>FMCG</t>
        </is>
      </c>
      <c r="J31" s="63" t="inlineStr">
        <is>
          <t>Groceries</t>
        </is>
      </c>
      <c r="K31" s="62" t="n">
        <v>1045</v>
      </c>
      <c r="L31" s="63" t="inlineStr">
        <is>
          <t>Ispahani Mirzapore Best leaf - 400 gm</t>
        </is>
      </c>
      <c r="M31" s="63" t="inlineStr">
        <is>
          <t xml:space="preserve">Connected </t>
        </is>
      </c>
      <c r="N31" s="79" t="inlineStr">
        <is>
          <t>No</t>
        </is>
      </c>
      <c r="O31" s="79" t="n"/>
      <c r="P31" s="79" t="n"/>
      <c r="Q31" s="79" t="n"/>
      <c r="R31" s="79" t="n"/>
      <c r="S31" s="79" t="n"/>
      <c r="T31" s="79" t="n"/>
      <c r="U31" s="79" t="n"/>
      <c r="V31" s="79" t="n"/>
      <c r="W31" s="79" t="n"/>
      <c r="X31" s="79" t="n"/>
      <c r="Y31" s="79" t="n"/>
      <c r="Z31" s="79" t="n"/>
    </row>
    <row r="32">
      <c r="A32" s="63" t="n"/>
      <c r="B32" s="62" t="n">
        <v>25091634985699</v>
      </c>
      <c r="C32" s="58" t="n"/>
      <c r="D32" s="63" t="n"/>
      <c r="E32" s="62" t="n">
        <v>607866</v>
      </c>
      <c r="F32" s="63" t="inlineStr">
        <is>
          <t xml:space="preserve">Mr./Ms. </t>
        </is>
      </c>
      <c r="G32" s="60" t="n">
        <v>1341223622</v>
      </c>
      <c r="H32" s="61" t="inlineStr">
        <is>
          <t>Brahman Baria</t>
        </is>
      </c>
      <c r="I32" s="63" t="inlineStr">
        <is>
          <t>Lifestyle</t>
        </is>
      </c>
      <c r="J32" s="63" t="inlineStr">
        <is>
          <t>Motors</t>
        </is>
      </c>
      <c r="K32" s="62" t="n">
        <v>55</v>
      </c>
      <c r="L32" s="63" t="inlineStr">
        <is>
          <t>High Quality Micro Fiber Double Layer Towel for Bike/ Car Cleaning - 30*30cm</t>
        </is>
      </c>
      <c r="M32" s="63" t="n"/>
      <c r="N32" s="79" t="n"/>
      <c r="O32" s="79" t="n"/>
      <c r="P32" s="79" t="n"/>
      <c r="Q32" s="79" t="n"/>
      <c r="R32" s="79" t="n"/>
      <c r="S32" s="79" t="n"/>
      <c r="T32" s="79" t="n"/>
      <c r="U32" s="79" t="n"/>
      <c r="V32" s="79" t="n"/>
      <c r="W32" s="79" t="n"/>
      <c r="X32" s="79" t="n"/>
      <c r="Y32" s="79" t="n"/>
      <c r="Z32" s="79" t="n"/>
    </row>
    <row r="33">
      <c r="A33" s="63" t="n"/>
      <c r="B33" s="62" t="n">
        <v>25091636987583</v>
      </c>
      <c r="C33" s="58" t="n"/>
      <c r="D33" s="63" t="n"/>
      <c r="E33" s="62" t="n">
        <v>676787</v>
      </c>
      <c r="F33" s="63" t="inlineStr">
        <is>
          <t>Md Solaiman</t>
        </is>
      </c>
      <c r="G33" s="60" t="n">
        <v>1811992655</v>
      </c>
      <c r="H33" s="66" t="inlineStr">
        <is>
          <t>Chandpur</t>
        </is>
      </c>
      <c r="I33" s="63" t="inlineStr">
        <is>
          <t>Lifestyle</t>
        </is>
      </c>
      <c r="J33" s="63" t="inlineStr">
        <is>
          <t>Tools, DIY  Outdoor</t>
        </is>
      </c>
      <c r="K33" s="62" t="n">
        <v>527</v>
      </c>
      <c r="L33" s="63" t="inlineStr">
        <is>
          <t>Battery Rechargeable Sealed Lead-Dry Acid Battery Sunnca 6v 4.5Ah</t>
        </is>
      </c>
      <c r="M33" s="63" t="n"/>
      <c r="N33" s="79" t="n"/>
      <c r="O33" s="79" t="n"/>
      <c r="P33" s="79" t="n"/>
      <c r="Q33" s="79" t="n"/>
      <c r="R33" s="79" t="n"/>
      <c r="S33" s="79" t="n"/>
      <c r="T33" s="79" t="n"/>
      <c r="U33" s="79" t="n"/>
      <c r="V33" s="79" t="n"/>
      <c r="W33" s="79" t="n"/>
      <c r="X33" s="79" t="n"/>
      <c r="Y33" s="79" t="n"/>
      <c r="Z33" s="79" t="n"/>
    </row>
    <row r="34">
      <c r="A34" s="63" t="n"/>
      <c r="B34" s="62" t="n">
        <v>25091647765839</v>
      </c>
      <c r="C34" s="58" t="n"/>
      <c r="D34" s="65" t="n"/>
      <c r="E34" s="62" t="n">
        <v>387777</v>
      </c>
      <c r="F34" s="63" t="inlineStr">
        <is>
          <t xml:space="preserve">Mr./Ms. </t>
        </is>
      </c>
      <c r="G34" s="60" t="n">
        <v>1616553125</v>
      </c>
      <c r="H34" s="66" t="inlineStr">
        <is>
          <t>Chandpur</t>
        </is>
      </c>
      <c r="I34" s="63" t="inlineStr">
        <is>
          <t>Electronics</t>
        </is>
      </c>
      <c r="J34" s="63" t="inlineStr">
        <is>
          <t>Computers  Laptops</t>
        </is>
      </c>
      <c r="K34" s="62" t="n">
        <v>499</v>
      </c>
      <c r="L34" s="63" t="inlineStr">
        <is>
          <t>Havit HV-SK473 2.0 Channel USB Multimedia Speakers</t>
        </is>
      </c>
      <c r="M34" s="63" t="n"/>
      <c r="N34" s="79" t="n"/>
      <c r="O34" s="79" t="n"/>
      <c r="P34" s="79" t="n"/>
      <c r="Q34" s="79" t="n"/>
      <c r="R34" s="79" t="n"/>
      <c r="S34" s="79" t="n"/>
      <c r="T34" s="79" t="n"/>
      <c r="U34" s="79" t="n"/>
      <c r="V34" s="79" t="n"/>
      <c r="W34" s="79" t="n"/>
      <c r="X34" s="79" t="n"/>
      <c r="Y34" s="79" t="n"/>
      <c r="Z34" s="79" t="n"/>
    </row>
    <row r="35">
      <c r="A35" s="63" t="n"/>
      <c r="B35" s="62" t="n">
        <v>25091663740116</v>
      </c>
      <c r="C35" s="58" t="n"/>
      <c r="D35" s="65" t="n"/>
      <c r="E35" s="62" t="n">
        <v>689309</v>
      </c>
      <c r="F35" s="63" t="inlineStr">
        <is>
          <t>Mr Robel</t>
        </is>
      </c>
      <c r="G35" s="60" t="n">
        <v>1715499242</v>
      </c>
      <c r="H35" s="61" t="inlineStr">
        <is>
          <t>Chandpur</t>
        </is>
      </c>
      <c r="I35" s="63" t="inlineStr">
        <is>
          <t>Fashion</t>
        </is>
      </c>
      <c r="J35" s="63" t="inlineStr">
        <is>
          <t>Fashion</t>
        </is>
      </c>
      <c r="K35" s="62" t="n">
        <v>600</v>
      </c>
      <c r="L35" s="63" t="inlineStr">
        <is>
          <t>Premium Quality Unstitched Cotton Print Three Pieces for Women/ Girl</t>
        </is>
      </c>
      <c r="M35" s="63" t="n"/>
      <c r="N35" s="79" t="n"/>
      <c r="O35" s="79" t="n"/>
      <c r="P35" s="79" t="n"/>
      <c r="Q35" s="79" t="n"/>
      <c r="R35" s="79" t="n"/>
      <c r="S35" s="79" t="n"/>
      <c r="T35" s="79" t="n"/>
      <c r="U35" s="79" t="n"/>
      <c r="V35" s="79" t="n"/>
      <c r="W35" s="79" t="n"/>
      <c r="X35" s="79" t="n"/>
      <c r="Y35" s="79" t="n"/>
      <c r="Z35" s="79" t="n"/>
    </row>
    <row r="36">
      <c r="A36" s="63" t="n"/>
      <c r="B36" s="62" t="n">
        <v>25091679319176</v>
      </c>
      <c r="C36" s="58" t="n"/>
      <c r="D36" s="65" t="n"/>
      <c r="E36" s="62" t="n">
        <v>346433</v>
      </c>
      <c r="F36" s="63" t="inlineStr">
        <is>
          <t xml:space="preserve">M. Tajul Islam </t>
        </is>
      </c>
      <c r="G36" s="60" t="n">
        <v>1619045589</v>
      </c>
      <c r="H36" s="66" t="inlineStr">
        <is>
          <t>Chandpur</t>
        </is>
      </c>
      <c r="I36" s="63" t="inlineStr">
        <is>
          <t>FMCG</t>
        </is>
      </c>
      <c r="J36" s="63" t="inlineStr">
        <is>
          <t>Mother  Baby</t>
        </is>
      </c>
      <c r="K36" s="62" t="n">
        <v>368</v>
      </c>
      <c r="L36" s="63" t="inlineStr">
        <is>
          <t>Firni Mix For Baby l 500g l Jafran Firni</t>
        </is>
      </c>
      <c r="M36" s="63" t="n"/>
      <c r="N36" s="79" t="n"/>
      <c r="O36" s="79" t="n"/>
      <c r="P36" s="79" t="n"/>
      <c r="Q36" s="79" t="n"/>
      <c r="R36" s="79" t="n"/>
      <c r="S36" s="79" t="n"/>
      <c r="T36" s="79" t="n"/>
      <c r="U36" s="79" t="n"/>
      <c r="V36" s="79" t="n"/>
      <c r="W36" s="79" t="n"/>
      <c r="X36" s="79" t="n"/>
      <c r="Y36" s="79" t="n"/>
      <c r="Z36" s="79" t="n"/>
    </row>
    <row r="37">
      <c r="A37" s="63" t="n"/>
      <c r="B37" s="62" t="n">
        <v>25091612592058</v>
      </c>
      <c r="C37" s="67" t="inlineStr">
        <is>
          <t>Mir Ahsan Abid</t>
        </is>
      </c>
      <c r="D37" s="63" t="n"/>
      <c r="E37" s="62" t="n">
        <v>206512</v>
      </c>
      <c r="F37" s="63" t="inlineStr">
        <is>
          <t xml:space="preserve">Parfect tube </t>
        </is>
      </c>
      <c r="G37" s="60" t="n">
        <v>1723729061</v>
      </c>
      <c r="H37" s="66" t="inlineStr">
        <is>
          <t>Chapainawabganj</t>
        </is>
      </c>
      <c r="I37" s="63" t="inlineStr">
        <is>
          <t>FMCG</t>
        </is>
      </c>
      <c r="J37" s="63" t="inlineStr">
        <is>
          <t>Mother  Baby</t>
        </is>
      </c>
      <c r="K37" s="62" t="n">
        <v>297</v>
      </c>
      <c r="L37" s="63" t="inlineStr">
        <is>
          <t>Parachute Just for Baby - Baby Powder 100g</t>
        </is>
      </c>
      <c r="M37" s="63" t="inlineStr">
        <is>
          <t xml:space="preserve">Connected </t>
        </is>
      </c>
      <c r="N37" s="79" t="inlineStr">
        <is>
          <t>No</t>
        </is>
      </c>
      <c r="O37" s="79" t="n"/>
      <c r="P37" s="79" t="n"/>
      <c r="Q37" s="79" t="n"/>
      <c r="R37" s="79" t="n"/>
      <c r="S37" s="79" t="n"/>
      <c r="T37" s="79" t="n"/>
      <c r="U37" s="79" t="n"/>
      <c r="V37" s="79" t="n"/>
      <c r="W37" s="79" t="n"/>
      <c r="X37" s="69" t="n"/>
      <c r="Y37" s="79" t="n"/>
      <c r="Z37" s="79" t="n"/>
    </row>
    <row r="38">
      <c r="A38" s="63" t="n"/>
      <c r="B38" s="62" t="n">
        <v>25091630351010</v>
      </c>
      <c r="C38" s="58" t="n"/>
      <c r="D38" s="63" t="n"/>
      <c r="E38" s="62" t="n">
        <v>206512</v>
      </c>
      <c r="F38" s="63" t="inlineStr">
        <is>
          <t xml:space="preserve">Parfect tube </t>
        </is>
      </c>
      <c r="G38" s="60" t="n">
        <v>1723729061</v>
      </c>
      <c r="H38" s="61" t="inlineStr">
        <is>
          <t>Chapainawabganj</t>
        </is>
      </c>
      <c r="I38" s="63" t="inlineStr">
        <is>
          <t>FMCG</t>
        </is>
      </c>
      <c r="J38" s="63" t="inlineStr">
        <is>
          <t>Health  Beauty</t>
        </is>
      </c>
      <c r="K38" s="62" t="n">
        <v>105</v>
      </c>
      <c r="L38" s="63" t="inlineStr">
        <is>
          <t>Freedom Popular 8 Pads</t>
        </is>
      </c>
      <c r="M38" s="63" t="inlineStr">
        <is>
          <t xml:space="preserve">Connected </t>
        </is>
      </c>
      <c r="N38" s="79" t="inlineStr">
        <is>
          <t>Yes</t>
        </is>
      </c>
      <c r="O38" s="79" t="inlineStr">
        <is>
          <t>On time</t>
        </is>
      </c>
      <c r="P38" s="79" t="n"/>
      <c r="Q38" s="79" t="n"/>
      <c r="R38" s="79" t="inlineStr">
        <is>
          <t>Very polite</t>
        </is>
      </c>
      <c r="S38" s="79" t="inlineStr">
        <is>
          <t>Not Damaged</t>
        </is>
      </c>
      <c r="T38" s="79" t="inlineStr">
        <is>
          <t>Yes</t>
        </is>
      </c>
      <c r="U38" s="79" t="n"/>
      <c r="V38" s="79" t="n"/>
      <c r="W38" s="79" t="n">
        <v>10</v>
      </c>
      <c r="X38" s="79" t="n"/>
      <c r="Y38" s="79" t="inlineStr">
        <is>
          <t>Positive</t>
        </is>
      </c>
      <c r="Z38" s="79" t="n"/>
    </row>
    <row r="39">
      <c r="A39" s="63" t="n"/>
      <c r="B39" s="62" t="n">
        <v>25091630997743</v>
      </c>
      <c r="C39" s="58" t="n"/>
      <c r="D39" s="63" t="n"/>
      <c r="E39" s="62" t="n">
        <v>40812</v>
      </c>
      <c r="F39" s="63" t="inlineStr">
        <is>
          <t xml:space="preserve">Md. Haque </t>
        </is>
      </c>
      <c r="G39" s="60" t="n">
        <v>1711203146</v>
      </c>
      <c r="H39" s="61" t="inlineStr">
        <is>
          <t>Chapainawabganj</t>
        </is>
      </c>
      <c r="I39" s="63" t="inlineStr">
        <is>
          <t>FMCG</t>
        </is>
      </c>
      <c r="J39" s="63" t="inlineStr">
        <is>
          <t>Health  Beauty</t>
        </is>
      </c>
      <c r="K39" s="62" t="n">
        <v>360</v>
      </c>
      <c r="L39" s="63" t="inlineStr">
        <is>
          <t>Buy 1 Dabur Gulabari Premium Rose Water 120ml Get Dabur Gulabari Premium Rose Water 60ml Free</t>
        </is>
      </c>
      <c r="M39" s="63" t="inlineStr">
        <is>
          <t>Not Connected</t>
        </is>
      </c>
      <c r="N39" s="79" t="n"/>
      <c r="O39" s="79" t="n"/>
      <c r="P39" s="79" t="n"/>
      <c r="Q39" s="79" t="n"/>
      <c r="R39" s="79" t="n"/>
      <c r="S39" s="79" t="n"/>
      <c r="T39" s="79" t="n"/>
      <c r="U39" s="79" t="n"/>
      <c r="V39" s="79" t="n"/>
      <c r="W39" s="79" t="n"/>
      <c r="X39" s="79" t="n"/>
      <c r="Y39" s="79" t="n"/>
      <c r="Z39" s="79" t="n"/>
    </row>
    <row r="40">
      <c r="A40" s="63" t="n"/>
      <c r="B40" s="62" t="n">
        <v>25091653595755</v>
      </c>
      <c r="C40" s="58" t="n"/>
      <c r="D40" s="65" t="n"/>
      <c r="E40" s="62" t="n">
        <v>599214</v>
      </c>
      <c r="F40" s="63" t="inlineStr">
        <is>
          <t xml:space="preserve">MA Basir </t>
        </is>
      </c>
      <c r="G40" s="60" t="n">
        <v>1716964906</v>
      </c>
      <c r="H40" s="66" t="inlineStr">
        <is>
          <t>Chapainawabganj</t>
        </is>
      </c>
      <c r="I40" s="63" t="inlineStr">
        <is>
          <t>FMCG</t>
        </is>
      </c>
      <c r="J40" s="63" t="inlineStr">
        <is>
          <t>Groceries</t>
        </is>
      </c>
      <c r="K40" s="62" t="n">
        <v>620</v>
      </c>
      <c r="L40" s="63" t="inlineStr">
        <is>
          <t>Yes Dishwash Liquid Lemon  - 3Ltr.</t>
        </is>
      </c>
      <c r="M40" s="63" t="n"/>
      <c r="N40" s="79" t="n"/>
      <c r="O40" s="79" t="n"/>
      <c r="P40" s="79" t="n"/>
      <c r="Q40" s="79" t="n"/>
      <c r="R40" s="79" t="n"/>
      <c r="S40" s="79" t="n"/>
      <c r="T40" s="79" t="n"/>
      <c r="U40" s="79" t="n"/>
      <c r="V40" s="79" t="n"/>
      <c r="W40" s="79" t="n"/>
      <c r="X40" s="79" t="n"/>
      <c r="Y40" s="79" t="n"/>
      <c r="Z40" s="79" t="n"/>
    </row>
    <row r="41">
      <c r="A41" s="63" t="n"/>
      <c r="B41" s="62" t="n">
        <v>25091611488547</v>
      </c>
      <c r="C41" s="67" t="inlineStr">
        <is>
          <t>Mir Ahsan Abid</t>
        </is>
      </c>
      <c r="D41" s="63" t="n"/>
      <c r="E41" s="62" t="n">
        <v>678868</v>
      </c>
      <c r="F41" s="63" t="inlineStr">
        <is>
          <t xml:space="preserve">Mr./Ms. </t>
        </is>
      </c>
      <c r="G41" s="60" t="n">
        <v>1621007439</v>
      </c>
      <c r="H41" s="66" t="inlineStr">
        <is>
          <t>Chattogram</t>
        </is>
      </c>
      <c r="I41" s="63" t="inlineStr">
        <is>
          <t>FMCG</t>
        </is>
      </c>
      <c r="J41" s="63" t="inlineStr">
        <is>
          <t>Health  Beauty</t>
        </is>
      </c>
      <c r="K41" s="62" t="n">
        <v>180</v>
      </c>
      <c r="L41" s="63" t="inlineStr">
        <is>
          <t>Hot Water Bag With Multicolor Cover - Hot Water Bag - hot water bag</t>
        </is>
      </c>
      <c r="M41" s="63" t="inlineStr">
        <is>
          <t>Not Connected</t>
        </is>
      </c>
      <c r="N41" s="79" t="n"/>
      <c r="O41" s="79" t="n"/>
      <c r="P41" s="79" t="n"/>
      <c r="Q41" s="79" t="n"/>
      <c r="R41" s="79" t="n"/>
      <c r="S41" s="79" t="n"/>
      <c r="T41" s="79" t="n"/>
      <c r="U41" s="79" t="n"/>
      <c r="V41" s="79" t="n"/>
      <c r="W41" s="79" t="n"/>
      <c r="X41" s="79" t="n"/>
      <c r="Y41" s="79" t="n"/>
      <c r="Z41" s="79" t="n"/>
    </row>
    <row r="42">
      <c r="A42" s="63" t="n"/>
      <c r="B42" s="62" t="n">
        <v>25091612872428</v>
      </c>
      <c r="C42" s="67" t="inlineStr">
        <is>
          <t>Mir Ahsan Abid</t>
        </is>
      </c>
      <c r="D42" s="63" t="n"/>
      <c r="E42" s="62" t="n">
        <v>195260</v>
      </c>
      <c r="F42" s="63" t="inlineStr">
        <is>
          <t xml:space="preserve">Sha Mahmudul Hasan </t>
        </is>
      </c>
      <c r="G42" s="60" t="n">
        <v>1540099163</v>
      </c>
      <c r="H42" s="61" t="inlineStr">
        <is>
          <t>Chattogram</t>
        </is>
      </c>
      <c r="I42" s="63" t="inlineStr">
        <is>
          <t>Lifestyle</t>
        </is>
      </c>
      <c r="J42" s="63" t="inlineStr">
        <is>
          <t>Furniture  Decor</t>
        </is>
      </c>
      <c r="K42" s="62" t="n">
        <v>808</v>
      </c>
      <c r="L42" s="63" t="inlineStr">
        <is>
          <t>LED Digital Alarm Clock Projection Clock Projector Ceiling Clock with Time Temperature Display Backlight Snooze Clock for Home-Multicolor</t>
        </is>
      </c>
      <c r="M42" s="63" t="inlineStr">
        <is>
          <t>Not Connected</t>
        </is>
      </c>
      <c r="N42" s="79" t="inlineStr">
        <is>
          <t>No</t>
        </is>
      </c>
      <c r="O42" s="79" t="n"/>
      <c r="P42" s="79" t="n"/>
      <c r="Q42" s="79" t="n"/>
      <c r="R42" s="79" t="n"/>
      <c r="S42" s="79" t="n"/>
      <c r="T42" s="79" t="n"/>
      <c r="U42" s="79" t="n"/>
      <c r="V42" s="79" t="n"/>
      <c r="W42" s="79" t="n"/>
      <c r="X42" s="79" t="n"/>
      <c r="Y42" s="79" t="n"/>
      <c r="Z42" s="79" t="n"/>
    </row>
    <row r="43">
      <c r="A43" s="63" t="n"/>
      <c r="B43" s="62" t="n">
        <v>25091614372484</v>
      </c>
      <c r="C43" s="67" t="inlineStr">
        <is>
          <t>Mir Ahsan Abid</t>
        </is>
      </c>
      <c r="D43" s="63" t="n"/>
      <c r="E43" s="62" t="n">
        <v>559333</v>
      </c>
      <c r="F43" s="63" t="inlineStr">
        <is>
          <t xml:space="preserve">Md Emon </t>
        </is>
      </c>
      <c r="G43" s="60" t="n">
        <v>1614634337</v>
      </c>
      <c r="H43" s="66" t="inlineStr">
        <is>
          <t>Chattogram</t>
        </is>
      </c>
      <c r="I43" s="63" t="inlineStr">
        <is>
          <t>FMCG</t>
        </is>
      </c>
      <c r="J43" s="63" t="inlineStr">
        <is>
          <t>Groceries</t>
        </is>
      </c>
      <c r="K43" s="62" t="n">
        <v>987</v>
      </c>
      <c r="L43" s="63" t="inlineStr">
        <is>
          <t>Starship Full Cream Milk Powder - 500 gm</t>
        </is>
      </c>
      <c r="M43" s="63" t="inlineStr">
        <is>
          <t xml:space="preserve">Connected </t>
        </is>
      </c>
      <c r="N43" s="79" t="inlineStr">
        <is>
          <t>Yes</t>
        </is>
      </c>
      <c r="O43" s="79" t="inlineStr">
        <is>
          <t>On time</t>
        </is>
      </c>
      <c r="P43" s="79" t="n"/>
      <c r="Q43" s="79" t="n"/>
      <c r="R43" s="79" t="inlineStr">
        <is>
          <t>Neutral</t>
        </is>
      </c>
      <c r="S43" s="79" t="inlineStr">
        <is>
          <t>Not Damaged</t>
        </is>
      </c>
      <c r="T43" s="79" t="inlineStr">
        <is>
          <t>Yes</t>
        </is>
      </c>
      <c r="U43" s="79" t="n"/>
      <c r="V43" s="79" t="n"/>
      <c r="W43" s="79" t="n">
        <v>9</v>
      </c>
      <c r="X43" s="79" t="n"/>
      <c r="Y43" s="79" t="inlineStr">
        <is>
          <t>Positive</t>
        </is>
      </c>
      <c r="Z43" s="79" t="n"/>
    </row>
    <row r="44">
      <c r="A44" s="63" t="n"/>
      <c r="B44" s="62" t="n">
        <v>25091614822909</v>
      </c>
      <c r="C44" s="67" t="inlineStr">
        <is>
          <t>Mir Ahsan Abid</t>
        </is>
      </c>
      <c r="D44" s="63" t="n"/>
      <c r="E44" s="62" t="n">
        <v>330720</v>
      </c>
      <c r="F44" s="63" t="inlineStr">
        <is>
          <t xml:space="preserve">Mr./Ms. </t>
        </is>
      </c>
      <c r="G44" s="60" t="n">
        <v>1816435128</v>
      </c>
      <c r="H44" s="66" t="inlineStr">
        <is>
          <t>Chattogram</t>
        </is>
      </c>
      <c r="I44" s="63" t="inlineStr">
        <is>
          <t>FMCG</t>
        </is>
      </c>
      <c r="J44" s="63" t="inlineStr">
        <is>
          <t>Health  Beauty</t>
        </is>
      </c>
      <c r="K44" s="62" t="n">
        <v>2800</v>
      </c>
      <c r="L44" s="63" t="inlineStr">
        <is>
          <t>Parachute Hair Oil Advansed Vitamin E Enriched Coconut 150ml</t>
        </is>
      </c>
      <c r="M44" s="63" t="inlineStr">
        <is>
          <t xml:space="preserve">Connected </t>
        </is>
      </c>
      <c r="N44" s="79" t="inlineStr">
        <is>
          <t>Yes</t>
        </is>
      </c>
      <c r="O44" s="79" t="inlineStr">
        <is>
          <t>On time</t>
        </is>
      </c>
      <c r="P44" s="79" t="n"/>
      <c r="Q44" s="79" t="n"/>
      <c r="R44" s="79" t="inlineStr">
        <is>
          <t>Neutral</t>
        </is>
      </c>
      <c r="S44" s="79" t="inlineStr">
        <is>
          <t>Not Damaged</t>
        </is>
      </c>
      <c r="T44" s="79" t="inlineStr">
        <is>
          <t>Didn't check</t>
        </is>
      </c>
      <c r="U44" s="79" t="n"/>
      <c r="V44" s="79" t="n"/>
      <c r="W44" s="79" t="n">
        <v>9</v>
      </c>
      <c r="X44" s="79" t="n"/>
      <c r="Y44" s="79" t="inlineStr">
        <is>
          <t>Neutral</t>
        </is>
      </c>
      <c r="Z44" s="79" t="n"/>
    </row>
    <row r="45">
      <c r="A45" s="63" t="n"/>
      <c r="B45" s="62" t="n">
        <v>25091624826585</v>
      </c>
      <c r="C45" s="67" t="inlineStr">
        <is>
          <t>Mir Ahsan Abid</t>
        </is>
      </c>
      <c r="D45" s="63" t="n"/>
      <c r="E45" s="62" t="n">
        <v>34915</v>
      </c>
      <c r="F45" s="63" t="inlineStr">
        <is>
          <t xml:space="preserve">MD.Abdullah Bin Zaman </t>
        </is>
      </c>
      <c r="G45" s="60" t="n">
        <v>1929150108</v>
      </c>
      <c r="H45" s="66" t="inlineStr">
        <is>
          <t>Chattogram Sadar</t>
        </is>
      </c>
      <c r="I45" s="63" t="inlineStr">
        <is>
          <t>FMCG</t>
        </is>
      </c>
      <c r="J45" s="63" t="inlineStr">
        <is>
          <t>Groceries</t>
        </is>
      </c>
      <c r="K45" s="62" t="n">
        <v>97</v>
      </c>
      <c r="L45" s="63" t="inlineStr">
        <is>
          <t>Pran Dal Bhaja 20gm (12 Pcs Pack)</t>
        </is>
      </c>
      <c r="M45" s="63" t="inlineStr">
        <is>
          <t>Not Connected</t>
        </is>
      </c>
      <c r="N45" s="79" t="n"/>
      <c r="O45" s="79" t="n"/>
      <c r="P45" s="79" t="n"/>
      <c r="Q45" s="79" t="n"/>
      <c r="R45" s="79" t="n"/>
      <c r="S45" s="79" t="n"/>
      <c r="T45" s="79" t="n"/>
      <c r="U45" s="79" t="n"/>
      <c r="V45" s="79" t="n"/>
      <c r="W45" s="79" t="n"/>
      <c r="X45" s="79" t="n"/>
      <c r="Y45" s="79" t="n"/>
      <c r="Z45" s="79" t="n"/>
    </row>
    <row r="46">
      <c r="A46" s="63" t="n"/>
      <c r="B46" s="62" t="n">
        <v>25091625554334</v>
      </c>
      <c r="C46" s="67" t="inlineStr">
        <is>
          <t>Mir Ahsan Abid</t>
        </is>
      </c>
      <c r="D46" s="63" t="n"/>
      <c r="E46" s="62" t="n">
        <v>213439</v>
      </c>
      <c r="F46" s="63" t="inlineStr">
        <is>
          <t xml:space="preserve">Newton Chowdhury </t>
        </is>
      </c>
      <c r="G46" s="60" t="n">
        <v>1770277778</v>
      </c>
      <c r="H46" s="66" t="inlineStr">
        <is>
          <t>Chattogram Sadar</t>
        </is>
      </c>
      <c r="I46" s="63" t="inlineStr">
        <is>
          <t>FMCG</t>
        </is>
      </c>
      <c r="J46" s="63" t="inlineStr">
        <is>
          <t>Groceries</t>
        </is>
      </c>
      <c r="K46" s="62" t="n">
        <v>193</v>
      </c>
      <c r="L46" s="63" t="inlineStr">
        <is>
          <t>Pran BBQ Sauce 280g</t>
        </is>
      </c>
      <c r="M46" s="63" t="inlineStr">
        <is>
          <t>Not Connected</t>
        </is>
      </c>
      <c r="N46" s="79" t="n"/>
      <c r="O46" s="79" t="n"/>
      <c r="P46" s="79" t="n"/>
      <c r="Q46" s="79" t="n"/>
      <c r="R46" s="79" t="n"/>
      <c r="S46" s="79" t="n"/>
      <c r="T46" s="79" t="n"/>
      <c r="U46" s="79" t="n"/>
      <c r="V46" s="79" t="n"/>
      <c r="W46" s="79" t="n"/>
      <c r="X46" s="79" t="n"/>
      <c r="Y46" s="79" t="n"/>
      <c r="Z46" s="79" t="n"/>
    </row>
    <row r="47">
      <c r="A47" s="63" t="n"/>
      <c r="B47" s="62" t="n">
        <v>25091632885885</v>
      </c>
      <c r="C47" s="58" t="n"/>
      <c r="D47" s="63" t="n"/>
      <c r="E47" s="62" t="n">
        <v>661138</v>
      </c>
      <c r="F47" s="63" t="inlineStr">
        <is>
          <t xml:space="preserve">Mr./Ms. </t>
        </is>
      </c>
      <c r="G47" s="60" t="n">
        <v>1821542987</v>
      </c>
      <c r="H47" s="66" t="inlineStr">
        <is>
          <t>Chattogram Sadar</t>
        </is>
      </c>
      <c r="I47" s="63" t="inlineStr">
        <is>
          <t>FMCG</t>
        </is>
      </c>
      <c r="J47" s="63" t="inlineStr">
        <is>
          <t>Groceries</t>
        </is>
      </c>
      <c r="K47" s="62" t="n">
        <v>1040</v>
      </c>
      <c r="L47" s="63" t="inlineStr">
        <is>
          <t>Flyto switch vape 6000 puff Full set With 30mg nic and 500 mAh battery</t>
        </is>
      </c>
      <c r="M47" s="63" t="n"/>
      <c r="N47" s="79" t="n"/>
      <c r="O47" s="79" t="n"/>
      <c r="P47" s="79" t="n"/>
      <c r="Q47" s="79" t="n"/>
      <c r="R47" s="79" t="n"/>
      <c r="S47" s="79" t="n"/>
      <c r="T47" s="79" t="n"/>
      <c r="U47" s="79" t="n"/>
      <c r="V47" s="79" t="n"/>
      <c r="W47" s="79" t="n"/>
      <c r="X47" s="79" t="n"/>
      <c r="Y47" s="79" t="n"/>
      <c r="Z47" s="79" t="n"/>
    </row>
    <row r="48">
      <c r="A48" s="63" t="n"/>
      <c r="B48" s="62" t="n">
        <v>25091634621740</v>
      </c>
      <c r="C48" s="58" t="n"/>
      <c r="D48" s="63" t="n"/>
      <c r="E48" s="62" t="n">
        <v>635482</v>
      </c>
      <c r="F48" s="63" t="inlineStr">
        <is>
          <t xml:space="preserve">Mr./Ms. </t>
        </is>
      </c>
      <c r="G48" s="60" t="n">
        <v>1819253756</v>
      </c>
      <c r="H48" s="66" t="inlineStr">
        <is>
          <t>Chattogram Sadar</t>
        </is>
      </c>
      <c r="I48" s="63" t="inlineStr">
        <is>
          <t>Electronics</t>
        </is>
      </c>
      <c r="J48" s="63" t="inlineStr">
        <is>
          <t>TV, Audio / Video, Gaming  Wearables</t>
        </is>
      </c>
      <c r="K48" s="62" t="n">
        <v>504</v>
      </c>
      <c r="L48" s="63" t="inlineStr">
        <is>
          <t>Apple AirPods Pro 2nd Generation Dubai Version</t>
        </is>
      </c>
      <c r="M48" s="63" t="n"/>
      <c r="N48" s="79" t="n"/>
      <c r="O48" s="79" t="n"/>
      <c r="P48" s="79" t="n"/>
      <c r="Q48" s="79" t="n"/>
      <c r="R48" s="79" t="n"/>
      <c r="S48" s="79" t="n"/>
      <c r="T48" s="79" t="n"/>
      <c r="U48" s="79" t="n"/>
      <c r="V48" s="79" t="n"/>
      <c r="W48" s="79" t="n"/>
      <c r="X48" s="79" t="n"/>
      <c r="Y48" s="79" t="n"/>
      <c r="Z48" s="79" t="n"/>
    </row>
    <row r="49">
      <c r="A49" s="63" t="n"/>
      <c r="B49" s="62" t="n">
        <v>25091649383393</v>
      </c>
      <c r="C49" s="58" t="n"/>
      <c r="D49" s="65" t="n"/>
      <c r="E49" s="62" t="n">
        <v>692421</v>
      </c>
      <c r="F49" s="63" t="inlineStr">
        <is>
          <t xml:space="preserve">I phone 15 pro max </t>
        </is>
      </c>
      <c r="G49" s="60" t="n">
        <v>1804523822</v>
      </c>
      <c r="H49" s="66" t="inlineStr">
        <is>
          <t>Chuadanga</t>
        </is>
      </c>
      <c r="I49" s="63" t="inlineStr">
        <is>
          <t>FMCG</t>
        </is>
      </c>
      <c r="J49" s="63" t="inlineStr">
        <is>
          <t>Health  Beauty</t>
        </is>
      </c>
      <c r="K49" s="62" t="n">
        <v>569</v>
      </c>
      <c r="L49" s="63" t="inlineStr">
        <is>
          <t>Nebulizer machine mini portable handhold Nebulizer machine for baby and adult</t>
        </is>
      </c>
      <c r="M49" s="63" t="n"/>
      <c r="N49" s="79" t="n"/>
      <c r="O49" s="79" t="n"/>
      <c r="P49" s="79" t="n"/>
      <c r="Q49" s="79" t="n"/>
      <c r="R49" s="79" t="n"/>
      <c r="S49" s="79" t="n"/>
      <c r="T49" s="79" t="n"/>
      <c r="U49" s="79" t="n"/>
      <c r="V49" s="79" t="n"/>
      <c r="W49" s="79" t="n"/>
      <c r="X49" s="79" t="n"/>
      <c r="Y49" s="79" t="n"/>
      <c r="Z49" s="79" t="n"/>
    </row>
    <row r="50">
      <c r="A50" s="63" t="n"/>
      <c r="B50" s="62" t="n">
        <v>25091785787579</v>
      </c>
      <c r="C50" s="58" t="n"/>
      <c r="D50" s="65" t="n"/>
      <c r="E50" s="62" t="n">
        <v>471222</v>
      </c>
      <c r="F50" s="63" t="inlineStr">
        <is>
          <t>RASEL AHAMMED</t>
        </is>
      </c>
      <c r="G50" s="60" t="n">
        <v>1874282357</v>
      </c>
      <c r="H50" s="66" t="inlineStr">
        <is>
          <t>Chuadanga</t>
        </is>
      </c>
      <c r="I50" s="63" t="inlineStr">
        <is>
          <t>FMCG</t>
        </is>
      </c>
      <c r="J50" s="63" t="inlineStr">
        <is>
          <t>Health  Beauty</t>
        </is>
      </c>
      <c r="K50" s="62" t="n">
        <v>42</v>
      </c>
      <c r="L50" s="63" t="inlineStr">
        <is>
          <t>ACI Neem Original Pure Neem Soap 75 gm</t>
        </is>
      </c>
      <c r="M50" s="63" t="n"/>
      <c r="N50" s="79" t="n"/>
      <c r="O50" s="79" t="n"/>
      <c r="P50" s="79" t="n"/>
      <c r="Q50" s="79" t="n"/>
      <c r="R50" s="79" t="n"/>
      <c r="S50" s="79" t="n"/>
      <c r="T50" s="79" t="n"/>
      <c r="U50" s="79" t="n"/>
      <c r="V50" s="79" t="n"/>
      <c r="W50" s="79" t="n"/>
      <c r="X50" s="79" t="n"/>
      <c r="Y50" s="79" t="n"/>
      <c r="Z50" s="79" t="n"/>
    </row>
    <row r="51">
      <c r="A51" s="63" t="n"/>
      <c r="B51" s="62" t="n">
        <v>25091792856224</v>
      </c>
      <c r="C51" s="58" t="n"/>
      <c r="D51" s="65" t="n"/>
      <c r="E51" s="62" t="n">
        <v>471222</v>
      </c>
      <c r="F51" s="63" t="inlineStr">
        <is>
          <t>RASEL AHAMMED</t>
        </is>
      </c>
      <c r="G51" s="60" t="n">
        <v>1874282357</v>
      </c>
      <c r="H51" s="66" t="inlineStr">
        <is>
          <t>Chuadanga</t>
        </is>
      </c>
      <c r="I51" s="63" t="inlineStr">
        <is>
          <t>FMCG</t>
        </is>
      </c>
      <c r="J51" s="63" t="inlineStr">
        <is>
          <t>Groceries</t>
        </is>
      </c>
      <c r="K51" s="62" t="n">
        <v>89</v>
      </c>
      <c r="L51" s="63" t="inlineStr">
        <is>
          <t>Minister Chaad Dish Washing  Liquid Lemon Fresh  - 500ml (250ml Refill Free)</t>
        </is>
      </c>
      <c r="M51" s="63" t="n"/>
      <c r="N51" s="79" t="n"/>
      <c r="O51" s="79" t="n"/>
      <c r="P51" s="79" t="n"/>
      <c r="Q51" s="79" t="n"/>
      <c r="R51" s="79" t="n"/>
      <c r="S51" s="79" t="n"/>
      <c r="T51" s="79" t="n"/>
      <c r="U51" s="79" t="n"/>
      <c r="V51" s="79" t="n"/>
      <c r="W51" s="79" t="n"/>
      <c r="X51" s="79" t="n"/>
      <c r="Y51" s="79" t="n"/>
      <c r="Z51" s="79" t="n"/>
    </row>
    <row r="52">
      <c r="A52" s="63" t="n"/>
      <c r="B52" s="62" t="n">
        <v>25091835253004</v>
      </c>
      <c r="C52" s="58" t="n"/>
      <c r="D52" s="65" t="n"/>
      <c r="E52" s="62" t="n">
        <v>697733</v>
      </c>
      <c r="F52" s="63" t="inlineStr">
        <is>
          <t xml:space="preserve">Mr./Ms. </t>
        </is>
      </c>
      <c r="G52" s="60" t="n">
        <v>1772846371</v>
      </c>
      <c r="H52" s="61" t="inlineStr">
        <is>
          <t>Chuadanga</t>
        </is>
      </c>
      <c r="I52" s="63" t="inlineStr">
        <is>
          <t>FMCG</t>
        </is>
      </c>
      <c r="J52" s="63" t="inlineStr">
        <is>
          <t>Groceries</t>
        </is>
      </c>
      <c r="K52" s="62" t="n">
        <v>187</v>
      </c>
      <c r="L52" s="63" t="inlineStr">
        <is>
          <t>Saffola Honey 250gm</t>
        </is>
      </c>
      <c r="M52" s="63" t="n"/>
      <c r="N52" s="79" t="n"/>
      <c r="O52" s="79" t="n"/>
      <c r="P52" s="79" t="n"/>
      <c r="Q52" s="79" t="n"/>
      <c r="R52" s="79" t="n"/>
      <c r="S52" s="79" t="n"/>
      <c r="T52" s="79" t="n"/>
      <c r="U52" s="79" t="n"/>
      <c r="V52" s="79" t="n"/>
      <c r="W52" s="79" t="n"/>
      <c r="X52" s="79" t="n"/>
      <c r="Y52" s="79" t="n"/>
      <c r="Z52" s="79" t="n"/>
    </row>
    <row r="53">
      <c r="A53" s="63" t="n"/>
      <c r="B53" s="62" t="n">
        <v>25091641958456</v>
      </c>
      <c r="C53" s="58" t="n"/>
      <c r="D53" s="65" t="n"/>
      <c r="E53" s="62" t="n">
        <v>642464</v>
      </c>
      <c r="F53" s="63" t="inlineStr">
        <is>
          <t xml:space="preserve">Rafiqul Islam Sohel </t>
        </is>
      </c>
      <c r="G53" s="60" t="n">
        <v>1772739657</v>
      </c>
      <c r="H53" s="61" t="inlineStr">
        <is>
          <t>Cox's Bazar</t>
        </is>
      </c>
      <c r="I53" s="63" t="inlineStr">
        <is>
          <t>FMCG</t>
        </is>
      </c>
      <c r="J53" s="63" t="inlineStr">
        <is>
          <t>Health  Beauty</t>
        </is>
      </c>
      <c r="K53" s="62" t="n">
        <v>1229</v>
      </c>
      <c r="L53" s="63" t="inlineStr">
        <is>
          <t>Realme DIZO Trimmer Neo</t>
        </is>
      </c>
      <c r="M53" s="63" t="n"/>
      <c r="N53" s="79" t="n"/>
      <c r="O53" s="79" t="n"/>
      <c r="P53" s="79" t="n"/>
      <c r="Q53" s="79" t="n"/>
      <c r="R53" s="79" t="n"/>
      <c r="S53" s="79" t="n"/>
      <c r="T53" s="79" t="n"/>
      <c r="U53" s="79" t="n"/>
      <c r="V53" s="79" t="n"/>
      <c r="W53" s="79" t="n"/>
      <c r="X53" s="79" t="n"/>
      <c r="Y53" s="79" t="n"/>
      <c r="Z53" s="79" t="n"/>
    </row>
    <row r="54">
      <c r="A54" s="63" t="n"/>
      <c r="B54" s="62" t="n">
        <v>25091657075571</v>
      </c>
      <c r="C54" s="58" t="n"/>
      <c r="D54" s="65" t="n"/>
      <c r="E54" s="62" t="n">
        <v>691741</v>
      </c>
      <c r="F54" s="63" t="inlineStr">
        <is>
          <t xml:space="preserve">Md Hasem </t>
        </is>
      </c>
      <c r="G54" s="60" t="n">
        <v>1632801458</v>
      </c>
      <c r="H54" s="66" t="inlineStr">
        <is>
          <t>Cox's Bazar</t>
        </is>
      </c>
      <c r="I54" s="63" t="inlineStr">
        <is>
          <t>Lifestyle</t>
        </is>
      </c>
      <c r="J54" s="63" t="inlineStr">
        <is>
          <t>Stationery  Craft</t>
        </is>
      </c>
      <c r="K54" s="62" t="n">
        <v>72</v>
      </c>
      <c r="L54" s="63" t="inlineStr">
        <is>
          <t>Advanced inspiring - Premium Quality - High-quality Glue gun stick - 10pcs - mini - Vintage Choice - Expression of Yourself</t>
        </is>
      </c>
      <c r="M54" s="63" t="n"/>
      <c r="N54" s="79" t="n"/>
      <c r="O54" s="79" t="n"/>
      <c r="P54" s="79" t="n"/>
      <c r="Q54" s="79" t="n"/>
      <c r="R54" s="79" t="n"/>
      <c r="S54" s="79" t="n"/>
      <c r="T54" s="79" t="n"/>
      <c r="U54" s="79" t="n"/>
      <c r="V54" s="79" t="n"/>
      <c r="W54" s="79" t="n"/>
      <c r="X54" s="79" t="n"/>
      <c r="Y54" s="79" t="n"/>
      <c r="Z54" s="79" t="n"/>
    </row>
    <row r="55">
      <c r="A55" s="63" t="n"/>
      <c r="B55" s="62" t="n">
        <v>25091673832094</v>
      </c>
      <c r="C55" s="58" t="n"/>
      <c r="D55" s="65" t="n"/>
      <c r="E55" s="62" t="n">
        <v>529440</v>
      </c>
      <c r="F55" s="63" t="inlineStr">
        <is>
          <t>Obaidul Hoque</t>
        </is>
      </c>
      <c r="G55" s="60" t="n">
        <v>1737688935</v>
      </c>
      <c r="H55" s="66" t="inlineStr">
        <is>
          <t>Cox's Bazar</t>
        </is>
      </c>
      <c r="I55" s="63" t="inlineStr">
        <is>
          <t>FMCG</t>
        </is>
      </c>
      <c r="J55" s="63" t="inlineStr">
        <is>
          <t>Groceries</t>
        </is>
      </c>
      <c r="K55" s="62" t="n">
        <v>140</v>
      </c>
      <c r="L55" s="63" t="inlineStr">
        <is>
          <t>Wheel Washing Laundry Bar 125g</t>
        </is>
      </c>
      <c r="M55" s="63" t="n"/>
      <c r="N55" s="79" t="n"/>
      <c r="O55" s="79" t="n"/>
      <c r="P55" s="79" t="n"/>
      <c r="Q55" s="79" t="n"/>
      <c r="R55" s="79" t="n"/>
      <c r="S55" s="79" t="n"/>
      <c r="T55" s="79" t="n"/>
      <c r="U55" s="79" t="n"/>
      <c r="V55" s="79" t="n"/>
      <c r="W55" s="79" t="n"/>
      <c r="X55" s="79" t="n"/>
      <c r="Y55" s="79" t="n"/>
      <c r="Z55" s="79" t="n"/>
    </row>
    <row r="56">
      <c r="A56" s="63" t="n"/>
      <c r="B56" s="62" t="n">
        <v>25091686170542</v>
      </c>
      <c r="C56" s="58" t="n"/>
      <c r="D56" s="65" t="n"/>
      <c r="E56" s="62" t="n">
        <v>687419</v>
      </c>
      <c r="F56" s="63" t="inlineStr">
        <is>
          <t xml:space="preserve">Md Hasan </t>
        </is>
      </c>
      <c r="G56" s="60" t="n">
        <v>1342754860</v>
      </c>
      <c r="H56" s="61" t="inlineStr">
        <is>
          <t>Cox's Bazar</t>
        </is>
      </c>
      <c r="I56" s="63" t="inlineStr">
        <is>
          <t>Lifestyle</t>
        </is>
      </c>
      <c r="J56" s="63" t="inlineStr">
        <is>
          <t>Furniture  Decor</t>
        </is>
      </c>
      <c r="K56" s="62" t="n">
        <v>606</v>
      </c>
      <c r="L56" s="63" t="inlineStr">
        <is>
          <t>Bonsai Tree in Pot, Artificial Plant Decoration For Office</t>
        </is>
      </c>
      <c r="M56" s="63" t="n"/>
      <c r="N56" s="79" t="n"/>
      <c r="O56" s="79" t="n"/>
      <c r="P56" s="79" t="n"/>
      <c r="Q56" s="79" t="n"/>
      <c r="R56" s="79" t="n"/>
      <c r="S56" s="79" t="n"/>
      <c r="T56" s="79" t="n"/>
      <c r="U56" s="79" t="n"/>
      <c r="V56" s="79" t="n"/>
      <c r="W56" s="79" t="n"/>
      <c r="X56" s="79" t="n"/>
      <c r="Y56" s="79" t="n"/>
      <c r="Z56" s="79" t="n"/>
    </row>
    <row r="57">
      <c r="A57" s="63" t="n"/>
      <c r="B57" s="62" t="n">
        <v>25091613983200</v>
      </c>
      <c r="C57" s="67" t="inlineStr">
        <is>
          <t>Mir Ahsan Abid</t>
        </is>
      </c>
      <c r="D57" s="63" t="n"/>
      <c r="E57" s="62" t="n">
        <v>235739</v>
      </c>
      <c r="F57" s="63" t="inlineStr">
        <is>
          <t xml:space="preserve">Mr./Ms. </t>
        </is>
      </c>
      <c r="G57" s="60" t="n">
        <v>1620602172</v>
      </c>
      <c r="H57" s="66" t="inlineStr">
        <is>
          <t>Cumilla</t>
        </is>
      </c>
      <c r="I57" s="63" t="inlineStr">
        <is>
          <t>FMCG</t>
        </is>
      </c>
      <c r="J57" s="63" t="inlineStr">
        <is>
          <t>Health  Beauty</t>
        </is>
      </c>
      <c r="K57" s="62" t="n">
        <v>140</v>
      </c>
      <c r="L57" s="63" t="inlineStr">
        <is>
          <t>Pepsodent Toothpaste Germi-Check 190g</t>
        </is>
      </c>
      <c r="M57" s="63" t="inlineStr">
        <is>
          <t xml:space="preserve">Connected </t>
        </is>
      </c>
      <c r="N57" s="79" t="inlineStr">
        <is>
          <t>Yes</t>
        </is>
      </c>
      <c r="O57" s="79" t="inlineStr">
        <is>
          <t>On time</t>
        </is>
      </c>
      <c r="P57" s="79" t="n"/>
      <c r="Q57" s="79" t="n"/>
      <c r="R57" s="79" t="inlineStr">
        <is>
          <t>Neutral</t>
        </is>
      </c>
      <c r="S57" s="79" t="inlineStr">
        <is>
          <t>Not Damaged</t>
        </is>
      </c>
      <c r="T57" s="79" t="inlineStr">
        <is>
          <t>Yes</t>
        </is>
      </c>
      <c r="U57" s="79" t="n"/>
      <c r="V57" s="79" t="n"/>
      <c r="W57" s="79" t="n">
        <v>9</v>
      </c>
      <c r="X57" s="79" t="n"/>
      <c r="Y57" s="79" t="inlineStr">
        <is>
          <t>Neutral</t>
        </is>
      </c>
      <c r="Z57" s="79" t="n"/>
    </row>
    <row r="58">
      <c r="A58" s="63" t="n"/>
      <c r="B58" s="62" t="n">
        <v>25091623508999</v>
      </c>
      <c r="C58" s="67" t="inlineStr">
        <is>
          <t>Mir Ahsan Abid</t>
        </is>
      </c>
      <c r="D58" s="63" t="n"/>
      <c r="E58" s="62" t="n">
        <v>228293</v>
      </c>
      <c r="F58" s="63" t="inlineStr">
        <is>
          <t>Saif Abrar</t>
        </is>
      </c>
      <c r="G58" s="60" t="n">
        <v>1631979888</v>
      </c>
      <c r="H58" s="66" t="inlineStr">
        <is>
          <t>Cumilla</t>
        </is>
      </c>
      <c r="I58" s="63" t="inlineStr">
        <is>
          <t>FMCG</t>
        </is>
      </c>
      <c r="J58" s="63" t="inlineStr">
        <is>
          <t>Groceries</t>
        </is>
      </c>
      <c r="K58" s="62" t="n">
        <v>550</v>
      </c>
      <c r="L58" s="63" t="inlineStr">
        <is>
          <t>Fresh Refind Sugar - 1kg</t>
        </is>
      </c>
      <c r="M58" s="63" t="inlineStr">
        <is>
          <t xml:space="preserve">Connected </t>
        </is>
      </c>
      <c r="N58" s="79" t="inlineStr">
        <is>
          <t>Yes</t>
        </is>
      </c>
      <c r="O58" s="79" t="inlineStr">
        <is>
          <t>On time</t>
        </is>
      </c>
      <c r="P58" s="79" t="n"/>
      <c r="Q58" s="79" t="n"/>
      <c r="R58" s="79" t="inlineStr">
        <is>
          <t>Very polite</t>
        </is>
      </c>
      <c r="S58" s="79" t="inlineStr">
        <is>
          <t>Not Damaged</t>
        </is>
      </c>
      <c r="T58" s="79" t="inlineStr">
        <is>
          <t>Yes</t>
        </is>
      </c>
      <c r="U58" s="79" t="n"/>
      <c r="V58" s="79" t="n"/>
      <c r="W58" s="79" t="n">
        <v>10</v>
      </c>
      <c r="X58" s="79" t="n"/>
      <c r="Y58" s="79" t="inlineStr">
        <is>
          <t>Positive</t>
        </is>
      </c>
      <c r="Z58" s="79" t="n"/>
    </row>
    <row r="59">
      <c r="A59" s="63" t="n"/>
      <c r="B59" s="62" t="n">
        <v>25091625999937</v>
      </c>
      <c r="C59" s="67" t="inlineStr">
        <is>
          <t>Mir Ahsan Abid</t>
        </is>
      </c>
      <c r="D59" s="63" t="n"/>
      <c r="E59" s="62" t="n">
        <v>691468</v>
      </c>
      <c r="F59" s="63" t="inlineStr">
        <is>
          <t xml:space="preserve">Mehedi Hasan </t>
        </is>
      </c>
      <c r="G59" s="60" t="n">
        <v>1798206465</v>
      </c>
      <c r="H59" s="61" t="inlineStr">
        <is>
          <t>Cumilla</t>
        </is>
      </c>
      <c r="I59" s="63" t="inlineStr">
        <is>
          <t>Lifestyle</t>
        </is>
      </c>
      <c r="J59" s="63" t="inlineStr">
        <is>
          <t>Tools, DIY  Outdoor</t>
        </is>
      </c>
      <c r="K59" s="62" t="n">
        <v>614</v>
      </c>
      <c r="L59" s="63" t="inlineStr">
        <is>
          <t>DINGQI 3/4" INCH PIPE THREAD HEAD &amp; PVC PIPE CUTTER RATCHET DIE STOCKS 136001</t>
        </is>
      </c>
      <c r="M59" s="63" t="inlineStr">
        <is>
          <t xml:space="preserve">Connected </t>
        </is>
      </c>
      <c r="N59" s="79" t="inlineStr">
        <is>
          <t>Yes</t>
        </is>
      </c>
      <c r="O59" s="79" t="inlineStr">
        <is>
          <t>On time</t>
        </is>
      </c>
      <c r="P59" s="79" t="n"/>
      <c r="Q59" s="79" t="n"/>
      <c r="R59" s="79" t="inlineStr">
        <is>
          <t>Neutral</t>
        </is>
      </c>
      <c r="S59" s="79" t="inlineStr">
        <is>
          <t>Not Damaged</t>
        </is>
      </c>
      <c r="T59" s="79" t="inlineStr">
        <is>
          <t>Didn't check</t>
        </is>
      </c>
      <c r="U59" s="79" t="n"/>
      <c r="V59" s="79" t="n"/>
      <c r="W59" s="79" t="n">
        <v>10</v>
      </c>
      <c r="X59" s="79" t="n"/>
      <c r="Y59" s="79" t="inlineStr">
        <is>
          <t>Positive</t>
        </is>
      </c>
      <c r="Z59" s="79" t="n"/>
    </row>
    <row r="60">
      <c r="A60" s="63" t="n"/>
      <c r="B60" s="62" t="n">
        <v>25091627385487</v>
      </c>
      <c r="C60" s="67" t="inlineStr">
        <is>
          <t>Mir Ahsan Abid</t>
        </is>
      </c>
      <c r="D60" s="63" t="n"/>
      <c r="E60" s="62" t="n">
        <v>656117</v>
      </c>
      <c r="F60" s="63" t="inlineStr">
        <is>
          <t xml:space="preserve">Ridoy Sarkar </t>
        </is>
      </c>
      <c r="G60" s="60" t="n">
        <v>1576639249</v>
      </c>
      <c r="H60" s="61" t="inlineStr">
        <is>
          <t>Cumilla</t>
        </is>
      </c>
      <c r="I60" s="63" t="inlineStr">
        <is>
          <t>Lifestyle</t>
        </is>
      </c>
      <c r="J60" s="63" t="inlineStr">
        <is>
          <t>Sports  Outdoors</t>
        </is>
      </c>
      <c r="K60" s="62" t="n">
        <v>590</v>
      </c>
      <c r="L60" s="63" t="inlineStr">
        <is>
          <t>Lotto Superlight - Comfortable Slide</t>
        </is>
      </c>
      <c r="M60" s="63" t="inlineStr">
        <is>
          <t xml:space="preserve">Connected </t>
        </is>
      </c>
      <c r="N60" s="79" t="inlineStr">
        <is>
          <t>Yes</t>
        </is>
      </c>
      <c r="O60" s="79" t="inlineStr">
        <is>
          <t>On time</t>
        </is>
      </c>
      <c r="P60" s="79" t="n"/>
      <c r="Q60" s="79" t="n"/>
      <c r="R60" s="79" t="inlineStr">
        <is>
          <t>Neutral</t>
        </is>
      </c>
      <c r="S60" s="79" t="inlineStr">
        <is>
          <t>Not Damaged</t>
        </is>
      </c>
      <c r="T60" s="79" t="inlineStr">
        <is>
          <t>Didn't check</t>
        </is>
      </c>
      <c r="U60" s="79" t="n"/>
      <c r="V60" s="79" t="n"/>
      <c r="W60" s="79" t="n">
        <v>9</v>
      </c>
      <c r="X60" s="79" t="n"/>
      <c r="Y60" s="79" t="inlineStr">
        <is>
          <t>Neutral</t>
        </is>
      </c>
      <c r="Z60" s="79" t="n"/>
    </row>
    <row r="61">
      <c r="A61" s="63" t="n"/>
      <c r="B61" s="62" t="n">
        <v>25091616326938</v>
      </c>
      <c r="C61" s="67" t="inlineStr">
        <is>
          <t>Mir Ahsan Abid</t>
        </is>
      </c>
      <c r="D61" s="63" t="n"/>
      <c r="E61" s="62" t="n">
        <v>492271</v>
      </c>
      <c r="F61" s="63" t="inlineStr">
        <is>
          <t xml:space="preserve">Mr./Ms. </t>
        </is>
      </c>
      <c r="G61" s="60" t="n">
        <v>1346381077</v>
      </c>
      <c r="H61" s="66" t="inlineStr">
        <is>
          <t>Dinajpur</t>
        </is>
      </c>
      <c r="I61" s="63" t="inlineStr">
        <is>
          <t>FMCG</t>
        </is>
      </c>
      <c r="J61" s="63" t="inlineStr">
        <is>
          <t>Mother  Baby</t>
        </is>
      </c>
      <c r="K61" s="62" t="n">
        <v>444</v>
      </c>
      <c r="L61" s="63" t="inlineStr">
        <is>
          <t>Parachute Just for Baby - Baby Wash 100ml</t>
        </is>
      </c>
      <c r="M61" s="63" t="inlineStr">
        <is>
          <t>Not Connected</t>
        </is>
      </c>
      <c r="N61" s="79" t="n"/>
      <c r="O61" s="79" t="n"/>
      <c r="P61" s="79" t="n"/>
      <c r="Q61" s="79" t="n"/>
      <c r="R61" s="79" t="n"/>
      <c r="S61" s="79" t="n"/>
      <c r="T61" s="79" t="n"/>
      <c r="U61" s="79" t="n"/>
      <c r="V61" s="79" t="n"/>
      <c r="W61" s="79" t="n"/>
      <c r="X61" s="79" t="n"/>
      <c r="Y61" s="79" t="n"/>
      <c r="Z61" s="79" t="n"/>
    </row>
    <row r="62">
      <c r="A62" s="63" t="n"/>
      <c r="B62" s="62" t="n">
        <v>25091617782063</v>
      </c>
      <c r="C62" s="67" t="inlineStr">
        <is>
          <t>Mir Ahsan Abid</t>
        </is>
      </c>
      <c r="D62" s="63" t="n"/>
      <c r="E62" s="62" t="n">
        <v>468331</v>
      </c>
      <c r="F62" s="63" t="inlineStr">
        <is>
          <t xml:space="preserve">Mr./Ms. </t>
        </is>
      </c>
      <c r="G62" s="60" t="n">
        <v>1340725447</v>
      </c>
      <c r="H62" s="66" t="inlineStr">
        <is>
          <t>Dinajpur</t>
        </is>
      </c>
      <c r="I62" s="63" t="inlineStr">
        <is>
          <t>FMCG</t>
        </is>
      </c>
      <c r="J62" s="63" t="inlineStr">
        <is>
          <t>Mother  Baby</t>
        </is>
      </c>
      <c r="K62" s="62" t="n">
        <v>296</v>
      </c>
      <c r="L62" s="63" t="inlineStr">
        <is>
          <t>Parachute Just for Baby - Baby Wash 100ml</t>
        </is>
      </c>
      <c r="M62" s="63" t="inlineStr">
        <is>
          <t>Not Connected</t>
        </is>
      </c>
      <c r="N62" s="79" t="n"/>
      <c r="O62" s="79" t="n"/>
      <c r="P62" s="79" t="n"/>
      <c r="Q62" s="79" t="n"/>
      <c r="R62" s="79" t="n"/>
      <c r="S62" s="79" t="n"/>
      <c r="T62" s="79" t="n"/>
      <c r="U62" s="79" t="n"/>
      <c r="V62" s="79" t="n"/>
      <c r="W62" s="79" t="n"/>
      <c r="X62" s="79" t="n"/>
      <c r="Y62" s="79" t="n"/>
      <c r="Z62" s="79" t="n"/>
    </row>
    <row r="63">
      <c r="A63" s="63" t="n"/>
      <c r="B63" s="62" t="n">
        <v>25091621440677</v>
      </c>
      <c r="C63" s="67" t="inlineStr">
        <is>
          <t>Mir Ahsan Abid</t>
        </is>
      </c>
      <c r="D63" s="63" t="n"/>
      <c r="E63" s="62" t="n">
        <v>668042</v>
      </c>
      <c r="F63" s="63" t="inlineStr">
        <is>
          <t xml:space="preserve">Rajat Kanti Roy </t>
        </is>
      </c>
      <c r="G63" s="60" t="n">
        <v>1715576940</v>
      </c>
      <c r="H63" s="66" t="inlineStr">
        <is>
          <t>Dinajpur</t>
        </is>
      </c>
      <c r="I63" s="63" t="inlineStr">
        <is>
          <t>FMCG</t>
        </is>
      </c>
      <c r="J63" s="63" t="inlineStr">
        <is>
          <t>Health  Beauty</t>
        </is>
      </c>
      <c r="K63" s="62" t="n">
        <v>430</v>
      </c>
      <c r="L63" s="63" t="inlineStr">
        <is>
          <t>ZGTS Micro Needle  0.75MM Hair, beard growth and Face Titanium Derma Roller 0.75mm</t>
        </is>
      </c>
      <c r="M63" s="63" t="inlineStr">
        <is>
          <t xml:space="preserve">Connected </t>
        </is>
      </c>
      <c r="N63" s="79" t="inlineStr">
        <is>
          <t>Yes</t>
        </is>
      </c>
      <c r="O63" s="79" t="inlineStr">
        <is>
          <t>On time</t>
        </is>
      </c>
      <c r="P63" s="79" t="n"/>
      <c r="Q63" s="79" t="n"/>
      <c r="R63" s="79" t="inlineStr">
        <is>
          <t>Very polite</t>
        </is>
      </c>
      <c r="S63" s="79" t="inlineStr">
        <is>
          <t>Not Damaged</t>
        </is>
      </c>
      <c r="T63" s="79" t="inlineStr">
        <is>
          <t>Yes</t>
        </is>
      </c>
      <c r="U63" s="79" t="n"/>
      <c r="V63" s="79" t="n"/>
      <c r="W63" s="79" t="n">
        <v>9</v>
      </c>
      <c r="X63" s="79" t="n"/>
      <c r="Y63" s="79" t="inlineStr">
        <is>
          <t>Positive</t>
        </is>
      </c>
      <c r="Z63" s="79" t="n"/>
    </row>
    <row r="64">
      <c r="A64" s="63" t="n"/>
      <c r="B64" s="62" t="n">
        <v>25091624241049</v>
      </c>
      <c r="C64" s="67" t="inlineStr">
        <is>
          <t>Mir Ahsan Abid</t>
        </is>
      </c>
      <c r="D64" s="63" t="n"/>
      <c r="E64" s="62" t="n">
        <v>666641</v>
      </c>
      <c r="F64" s="63" t="inlineStr">
        <is>
          <t>Hera islam</t>
        </is>
      </c>
      <c r="G64" s="60" t="n">
        <v>1728541777</v>
      </c>
      <c r="H64" s="66" t="inlineStr">
        <is>
          <t>Dinajpur</t>
        </is>
      </c>
      <c r="I64" s="63" t="inlineStr">
        <is>
          <t>FMCG</t>
        </is>
      </c>
      <c r="J64" s="63" t="inlineStr">
        <is>
          <t>Groceries</t>
        </is>
      </c>
      <c r="K64" s="62" t="n">
        <v>996</v>
      </c>
      <c r="L64" s="63" t="inlineStr">
        <is>
          <t>Standard Horlicks Health and Nutrition Drink Super Value Pack 400g</t>
        </is>
      </c>
      <c r="M64" s="63" t="inlineStr">
        <is>
          <t>Not Connected</t>
        </is>
      </c>
      <c r="N64" s="79" t="n"/>
      <c r="O64" s="79" t="n"/>
      <c r="P64" s="79" t="n"/>
      <c r="Q64" s="79" t="n"/>
      <c r="R64" s="79" t="n"/>
      <c r="S64" s="79" t="n"/>
      <c r="T64" s="79" t="n"/>
      <c r="U64" s="79" t="n"/>
      <c r="V64" s="79" t="n"/>
      <c r="W64" s="79" t="n"/>
      <c r="X64" s="79" t="n"/>
      <c r="Y64" s="79" t="n"/>
      <c r="Z64" s="79" t="n"/>
    </row>
    <row r="65">
      <c r="A65" s="63" t="n"/>
      <c r="B65" s="62" t="n">
        <v>25091636790308</v>
      </c>
      <c r="C65" s="58" t="n"/>
      <c r="D65" s="63" t="n"/>
      <c r="E65" s="62" t="n">
        <v>690409</v>
      </c>
      <c r="F65" s="63" t="inlineStr">
        <is>
          <t xml:space="preserve">Mr./Ms. </t>
        </is>
      </c>
      <c r="G65" s="60" t="n">
        <v>1940999403</v>
      </c>
      <c r="H65" s="66" t="inlineStr">
        <is>
          <t>Dohar</t>
        </is>
      </c>
      <c r="I65" s="63" t="inlineStr">
        <is>
          <t>Lifestyle</t>
        </is>
      </c>
      <c r="J65" s="63" t="inlineStr">
        <is>
          <t>Sports  Outdoors</t>
        </is>
      </c>
      <c r="K65" s="62" t="n">
        <v>1032</v>
      </c>
      <c r="L65" s="63" t="inlineStr">
        <is>
          <t>Lotto super light global 4L plus running series - lotto shoes for men</t>
        </is>
      </c>
      <c r="M65" s="63" t="n"/>
      <c r="N65" s="79" t="n"/>
      <c r="O65" s="79" t="n"/>
      <c r="P65" s="79" t="n"/>
      <c r="Q65" s="79" t="n"/>
      <c r="R65" s="79" t="n"/>
      <c r="S65" s="79" t="n"/>
      <c r="T65" s="79" t="n"/>
      <c r="U65" s="79" t="n"/>
      <c r="V65" s="79" t="n"/>
      <c r="W65" s="79" t="n"/>
      <c r="X65" s="79" t="n"/>
      <c r="Y65" s="79" t="n"/>
      <c r="Z65" s="79" t="n"/>
    </row>
    <row r="66">
      <c r="A66" s="63" t="n"/>
      <c r="B66" s="62" t="n">
        <v>25091654550306</v>
      </c>
      <c r="C66" s="58" t="n"/>
      <c r="D66" s="65" t="n"/>
      <c r="E66" s="62" t="n">
        <v>527631</v>
      </c>
      <c r="F66" s="63" t="inlineStr">
        <is>
          <t>Mitu akter</t>
        </is>
      </c>
      <c r="G66" s="60" t="n">
        <v>1876107424</v>
      </c>
      <c r="H66" s="66" t="inlineStr">
        <is>
          <t>Dohar</t>
        </is>
      </c>
      <c r="I66" s="63" t="inlineStr">
        <is>
          <t>Lifestyle</t>
        </is>
      </c>
      <c r="J66" s="63" t="inlineStr">
        <is>
          <t>Furniture  Decor</t>
        </is>
      </c>
      <c r="K66" s="62" t="n">
        <v>480</v>
      </c>
      <c r="L66" s="63" t="inlineStr">
        <is>
          <t>Fairy decorative lights multi color light 80 Led 26 Feet light home decorative Weeding Festival Party water proof Led Light</t>
        </is>
      </c>
      <c r="M66" s="63" t="n"/>
      <c r="N66" s="79" t="n"/>
      <c r="O66" s="79" t="n"/>
      <c r="P66" s="79" t="n"/>
      <c r="Q66" s="79" t="n"/>
      <c r="R66" s="79" t="n"/>
      <c r="S66" s="79" t="n"/>
      <c r="T66" s="79" t="n"/>
      <c r="U66" s="79" t="n"/>
      <c r="V66" s="79" t="n"/>
      <c r="W66" s="79" t="n"/>
      <c r="X66" s="79" t="n"/>
      <c r="Y66" s="79" t="n"/>
      <c r="Z66" s="79" t="n"/>
    </row>
    <row r="67">
      <c r="A67" s="63" t="n"/>
      <c r="B67" s="62" t="n">
        <v>25091691754674</v>
      </c>
      <c r="C67" s="58" t="n"/>
      <c r="D67" s="65" t="n"/>
      <c r="E67" s="62" t="n">
        <v>520451</v>
      </c>
      <c r="F67" s="63" t="inlineStr">
        <is>
          <t>Provat Gomes</t>
        </is>
      </c>
      <c r="G67" s="60" t="n">
        <v>1817120795</v>
      </c>
      <c r="H67" s="61" t="inlineStr">
        <is>
          <t>Dohar</t>
        </is>
      </c>
      <c r="I67" s="63" t="inlineStr">
        <is>
          <t>FMCG</t>
        </is>
      </c>
      <c r="J67" s="63" t="inlineStr">
        <is>
          <t>Groceries</t>
        </is>
      </c>
      <c r="K67" s="62" t="n">
        <v>625</v>
      </c>
      <c r="L67" s="63" t="inlineStr">
        <is>
          <t>Starship Full Cream Milk Powder - 1 Kg</t>
        </is>
      </c>
      <c r="M67" s="63" t="n"/>
      <c r="N67" s="79" t="n"/>
      <c r="O67" s="79" t="n"/>
      <c r="P67" s="79" t="n"/>
      <c r="Q67" s="79" t="n"/>
      <c r="R67" s="79" t="n"/>
      <c r="S67" s="79" t="n"/>
      <c r="T67" s="79" t="n"/>
      <c r="U67" s="79" t="n"/>
      <c r="V67" s="79" t="n"/>
      <c r="W67" s="79" t="n"/>
      <c r="X67" s="79" t="n"/>
      <c r="Y67" s="79" t="n"/>
      <c r="Z67" s="79" t="n"/>
    </row>
    <row r="68">
      <c r="A68" s="63" t="n"/>
      <c r="B68" s="62" t="n">
        <v>25091736304074</v>
      </c>
      <c r="C68" s="58" t="n"/>
      <c r="D68" s="65" t="n"/>
      <c r="E68" s="62" t="n">
        <v>348620</v>
      </c>
      <c r="F68" s="63" t="inlineStr">
        <is>
          <t xml:space="preserve">Mr./Ms. </t>
        </is>
      </c>
      <c r="G68" s="60" t="n">
        <v>1878610560</v>
      </c>
      <c r="H68" s="61" t="inlineStr">
        <is>
          <t>Dohar</t>
        </is>
      </c>
      <c r="I68" s="63" t="inlineStr">
        <is>
          <t>Fashion</t>
        </is>
      </c>
      <c r="J68" s="63" t="inlineStr">
        <is>
          <t>Fashion</t>
        </is>
      </c>
      <c r="K68" s="62" t="n">
        <v>451</v>
      </c>
      <c r="L68" s="63" t="inlineStr">
        <is>
          <t>Japani Soft Silk Saree For Women- Piyaj - শাড়ি</t>
        </is>
      </c>
      <c r="M68" s="63" t="n"/>
      <c r="N68" s="79" t="n"/>
      <c r="O68" s="79" t="n"/>
      <c r="P68" s="79" t="n"/>
      <c r="Q68" s="79" t="n"/>
      <c r="R68" s="79" t="n"/>
      <c r="S68" s="79" t="n"/>
      <c r="T68" s="79" t="n"/>
      <c r="U68" s="79" t="n"/>
      <c r="V68" s="79" t="n"/>
      <c r="W68" s="79" t="n"/>
      <c r="X68" s="79" t="n"/>
      <c r="Y68" s="79" t="n"/>
      <c r="Z68" s="79" t="n"/>
    </row>
    <row r="69">
      <c r="A69" s="63" t="n"/>
      <c r="B69" s="62" t="n">
        <v>25091621580504</v>
      </c>
      <c r="C69" s="67" t="inlineStr">
        <is>
          <t>Mir Ahsan Abid</t>
        </is>
      </c>
      <c r="D69" s="63" t="n"/>
      <c r="E69" s="62" t="n">
        <v>684489</v>
      </c>
      <c r="F69" s="63" t="inlineStr">
        <is>
          <t xml:space="preserve">Delwar Hossain </t>
        </is>
      </c>
      <c r="G69" s="60" t="n">
        <v>1914515885</v>
      </c>
      <c r="H69" s="61" t="inlineStr">
        <is>
          <t>Faridpur</t>
        </is>
      </c>
      <c r="I69" s="63" t="inlineStr">
        <is>
          <t>Fashion</t>
        </is>
      </c>
      <c r="J69" s="63" t="inlineStr">
        <is>
          <t>Bags and Travel</t>
        </is>
      </c>
      <c r="K69" s="62" t="n">
        <v>204</v>
      </c>
      <c r="L69" s="63" t="inlineStr">
        <is>
          <t>Round Zipper Stylish High Quality Artificial Leather Wallet For Men</t>
        </is>
      </c>
      <c r="M69" s="63" t="inlineStr">
        <is>
          <t>Not Connected</t>
        </is>
      </c>
      <c r="N69" s="79" t="n"/>
      <c r="O69" s="79" t="n"/>
      <c r="P69" s="79" t="n"/>
      <c r="Q69" s="79" t="n"/>
      <c r="R69" s="79" t="n"/>
      <c r="S69" s="79" t="n"/>
      <c r="T69" s="79" t="n"/>
      <c r="U69" s="79" t="n"/>
      <c r="V69" s="79" t="n"/>
      <c r="W69" s="79" t="n"/>
      <c r="X69" s="79" t="n"/>
      <c r="Y69" s="79" t="n"/>
      <c r="Z69" s="79" t="n"/>
    </row>
    <row r="70">
      <c r="A70" s="63" t="n"/>
      <c r="B70" s="62" t="n">
        <v>25091649718971</v>
      </c>
      <c r="C70" s="58" t="n"/>
      <c r="D70" s="65" t="n"/>
      <c r="E70" s="62" t="n">
        <v>666879</v>
      </c>
      <c r="F70" s="63" t="inlineStr">
        <is>
          <t xml:space="preserve">Mr./Ms. </t>
        </is>
      </c>
      <c r="G70" s="60" t="n">
        <v>1932465213</v>
      </c>
      <c r="H70" s="61" t="inlineStr">
        <is>
          <t>Faridpur</t>
        </is>
      </c>
      <c r="I70" s="63" t="inlineStr">
        <is>
          <t>Electronics</t>
        </is>
      </c>
      <c r="J70" s="63" t="inlineStr">
        <is>
          <t>TV, Audio / Video, Gaming  Wearables</t>
        </is>
      </c>
      <c r="K70" s="62" t="n">
        <v>499</v>
      </c>
      <c r="L70" s="63" t="inlineStr">
        <is>
          <t>T800 Ultra Smartwatch Wireless Charging Bluetooth Call Watch For Men Women</t>
        </is>
      </c>
      <c r="M70" s="63" t="n"/>
      <c r="N70" s="79" t="n"/>
      <c r="O70" s="79" t="n"/>
      <c r="P70" s="79" t="n"/>
      <c r="Q70" s="79" t="n"/>
      <c r="R70" s="79" t="n"/>
      <c r="S70" s="79" t="n"/>
      <c r="T70" s="79" t="n"/>
      <c r="U70" s="79" t="n"/>
      <c r="V70" s="79" t="n"/>
      <c r="W70" s="79" t="n"/>
      <c r="X70" s="79" t="n"/>
      <c r="Y70" s="79" t="n"/>
      <c r="Z70" s="79" t="n"/>
    </row>
    <row r="71">
      <c r="A71" s="63" t="n"/>
      <c r="B71" s="62" t="n">
        <v>25091652970206</v>
      </c>
      <c r="C71" s="58" t="n"/>
      <c r="D71" s="65" t="n"/>
      <c r="E71" s="62" t="n">
        <v>649016</v>
      </c>
      <c r="F71" s="63" t="inlineStr">
        <is>
          <t xml:space="preserve">Mehedi Hasan </t>
        </is>
      </c>
      <c r="G71" s="60" t="n">
        <v>1611671408</v>
      </c>
      <c r="H71" s="66" t="inlineStr">
        <is>
          <t>Faridpur</t>
        </is>
      </c>
      <c r="I71" s="63" t="inlineStr">
        <is>
          <t>FMCG</t>
        </is>
      </c>
      <c r="J71" s="63" t="inlineStr">
        <is>
          <t>Groceries</t>
        </is>
      </c>
      <c r="K71" s="62" t="n">
        <v>86</v>
      </c>
      <c r="L71" s="63" t="inlineStr">
        <is>
          <t>Pran Lachcha Semai (Fried Vermichili) 200gm</t>
        </is>
      </c>
      <c r="M71" s="63" t="n"/>
      <c r="N71" s="79" t="n"/>
      <c r="O71" s="79" t="n"/>
      <c r="P71" s="79" t="n"/>
      <c r="Q71" s="79" t="n"/>
      <c r="R71" s="79" t="n"/>
      <c r="S71" s="79" t="n"/>
      <c r="T71" s="79" t="n"/>
      <c r="U71" s="79" t="n"/>
      <c r="V71" s="79" t="n"/>
      <c r="W71" s="79" t="n"/>
      <c r="X71" s="79" t="n"/>
      <c r="Y71" s="79" t="n"/>
      <c r="Z71" s="79" t="n"/>
    </row>
    <row r="72">
      <c r="A72" s="63" t="n"/>
      <c r="B72" s="62" t="n">
        <v>25091653103184</v>
      </c>
      <c r="C72" s="58" t="n"/>
      <c r="D72" s="65" t="n"/>
      <c r="E72" s="62" t="n">
        <v>677155</v>
      </c>
      <c r="F72" s="63" t="inlineStr">
        <is>
          <t>md Abdul Rahman</t>
        </is>
      </c>
      <c r="G72" s="60" t="n">
        <v>1856738731</v>
      </c>
      <c r="H72" s="66" t="inlineStr">
        <is>
          <t>Faridpur</t>
        </is>
      </c>
      <c r="I72" s="63" t="inlineStr">
        <is>
          <t>Lifestyle</t>
        </is>
      </c>
      <c r="J72" s="63" t="inlineStr">
        <is>
          <t>Tools, DIY  Outdoor</t>
        </is>
      </c>
      <c r="K72" s="62" t="n">
        <v>125</v>
      </c>
      <c r="L72" s="63" t="inlineStr">
        <is>
          <t>Battery Charge Level Indicator 12V 24V 36V 48V 60V 72V Lithium Battery Capacity Meter Tester With LED Voltmeter for Cars Motorcycles Etc</t>
        </is>
      </c>
      <c r="M72" s="63" t="n"/>
      <c r="N72" s="79" t="n"/>
      <c r="O72" s="79" t="n"/>
      <c r="P72" s="79" t="n"/>
      <c r="Q72" s="79" t="n"/>
      <c r="R72" s="79" t="n"/>
      <c r="S72" s="79" t="n"/>
      <c r="T72" s="79" t="n"/>
      <c r="U72" s="79" t="n"/>
      <c r="V72" s="79" t="n"/>
      <c r="W72" s="79" t="n"/>
      <c r="X72" s="79" t="n"/>
      <c r="Y72" s="79" t="n"/>
      <c r="Z72" s="79" t="n"/>
    </row>
    <row r="73">
      <c r="A73" s="63" t="n"/>
      <c r="B73" s="62" t="n">
        <v>25091614491648</v>
      </c>
      <c r="C73" s="67" t="inlineStr">
        <is>
          <t>Mir Ahsan Abid</t>
        </is>
      </c>
      <c r="D73" s="63" t="n"/>
      <c r="E73" s="62" t="n">
        <v>642114</v>
      </c>
      <c r="F73" s="63" t="inlineStr">
        <is>
          <t xml:space="preserve">Nazmul Haque </t>
        </is>
      </c>
      <c r="G73" s="60" t="n">
        <v>1812936350</v>
      </c>
      <c r="H73" s="66" t="inlineStr">
        <is>
          <t>Feni</t>
        </is>
      </c>
      <c r="I73" s="63" t="inlineStr">
        <is>
          <t>FMCG</t>
        </is>
      </c>
      <c r="J73" s="63" t="inlineStr">
        <is>
          <t>Groceries</t>
        </is>
      </c>
      <c r="K73" s="62" t="n">
        <v>67</v>
      </c>
      <c r="L73" s="63" t="inlineStr">
        <is>
          <t>Partex Cleen Hand Towel Tissue (200 Pcs x 2 Ply) - White Poly</t>
        </is>
      </c>
      <c r="M73" s="63" t="inlineStr">
        <is>
          <t xml:space="preserve">Connected </t>
        </is>
      </c>
      <c r="N73" s="79" t="inlineStr">
        <is>
          <t>Yes</t>
        </is>
      </c>
      <c r="O73" s="79" t="inlineStr">
        <is>
          <t>Earlier than expected</t>
        </is>
      </c>
      <c r="P73" s="79" t="n"/>
      <c r="Q73" s="79" t="n"/>
      <c r="R73" s="79" t="inlineStr">
        <is>
          <t>Very polite</t>
        </is>
      </c>
      <c r="S73" s="79" t="inlineStr">
        <is>
          <t>Not Damaged</t>
        </is>
      </c>
      <c r="T73" s="79" t="inlineStr">
        <is>
          <t>Didn't check</t>
        </is>
      </c>
      <c r="U73" s="79" t="n"/>
      <c r="V73" s="79" t="n"/>
      <c r="W73" s="79" t="n">
        <v>8</v>
      </c>
      <c r="X73" s="79" t="n"/>
      <c r="Y73" s="79" t="inlineStr">
        <is>
          <t>Positive</t>
        </is>
      </c>
      <c r="Z73" s="79" t="n"/>
    </row>
    <row r="74">
      <c r="A74" s="63" t="n"/>
      <c r="B74" s="62" t="n">
        <v>25091615689050</v>
      </c>
      <c r="C74" s="67" t="inlineStr">
        <is>
          <t>Mir Ahsan Abid</t>
        </is>
      </c>
      <c r="D74" s="63" t="n"/>
      <c r="E74" s="62" t="n">
        <v>633081</v>
      </c>
      <c r="F74" s="63" t="inlineStr">
        <is>
          <t xml:space="preserve">Mr./Ms. </t>
        </is>
      </c>
      <c r="G74" s="60" t="n">
        <v>1733861085</v>
      </c>
      <c r="H74" s="66" t="inlineStr">
        <is>
          <t>Feni</t>
        </is>
      </c>
      <c r="I74" s="63" t="inlineStr">
        <is>
          <t>Fashion</t>
        </is>
      </c>
      <c r="J74" s="63" t="inlineStr">
        <is>
          <t>Bags and Travel</t>
        </is>
      </c>
      <c r="K74" s="62" t="n">
        <v>436</v>
      </c>
      <c r="L74" s="63" t="inlineStr">
        <is>
          <t>MY SHOPEE bd Men Crossbody Bags Backpacks Waist Packs Men Cross Body Bags Earphone Jack Bags Sport Pouch Bags Light Weight Chest Bags</t>
        </is>
      </c>
      <c r="M74" s="63" t="inlineStr">
        <is>
          <t xml:space="preserve">Connected </t>
        </is>
      </c>
      <c r="N74" s="79" t="inlineStr">
        <is>
          <t>Yes</t>
        </is>
      </c>
      <c r="O74" s="79" t="n"/>
      <c r="P74" s="79" t="n"/>
      <c r="Q74" s="79" t="n"/>
      <c r="R74" s="79" t="n"/>
      <c r="S74" s="79" t="n"/>
      <c r="T74" s="79" t="n"/>
      <c r="U74" s="79" t="n"/>
      <c r="V74" s="79" t="n"/>
      <c r="W74" s="79" t="n"/>
      <c r="X74" s="79" t="n"/>
      <c r="Y74" s="79" t="n"/>
      <c r="Z74" s="79" t="n"/>
    </row>
    <row r="75">
      <c r="A75" s="63" t="n"/>
      <c r="B75" s="62" t="n">
        <v>25091617139482</v>
      </c>
      <c r="C75" s="67" t="inlineStr">
        <is>
          <t>Mir Ahsan Abid</t>
        </is>
      </c>
      <c r="D75" s="63" t="n"/>
      <c r="E75" s="62" t="n">
        <v>566126</v>
      </c>
      <c r="F75" s="63" t="inlineStr">
        <is>
          <t xml:space="preserve">Mr./Ms. </t>
        </is>
      </c>
      <c r="G75" s="60" t="n">
        <v>1629806347</v>
      </c>
      <c r="H75" s="61" t="inlineStr">
        <is>
          <t>Feni</t>
        </is>
      </c>
      <c r="I75" s="63" t="inlineStr">
        <is>
          <t>Fashion</t>
        </is>
      </c>
      <c r="J75" s="63" t="inlineStr">
        <is>
          <t>Bags and Travel</t>
        </is>
      </c>
      <c r="K75" s="62" t="n">
        <v>450</v>
      </c>
      <c r="L75" s="63" t="inlineStr">
        <is>
          <t>Mi স্টেপ ওয়াটারপ্রুফ রঙিন ব্যাকপ্যাক</t>
        </is>
      </c>
      <c r="M75" s="63" t="inlineStr">
        <is>
          <t xml:space="preserve">Connected </t>
        </is>
      </c>
      <c r="N75" s="79" t="inlineStr">
        <is>
          <t>Yes</t>
        </is>
      </c>
      <c r="O75" s="79" t="inlineStr">
        <is>
          <t>On time</t>
        </is>
      </c>
      <c r="P75" s="79" t="n"/>
      <c r="Q75" s="79" t="n"/>
      <c r="R75" s="79" t="inlineStr">
        <is>
          <t>Very polite</t>
        </is>
      </c>
      <c r="S75" s="79" t="inlineStr">
        <is>
          <t>Not Damaged</t>
        </is>
      </c>
      <c r="T75" s="79" t="inlineStr">
        <is>
          <t>Didn't check</t>
        </is>
      </c>
      <c r="U75" s="79" t="n"/>
      <c r="V75" s="79" t="n"/>
      <c r="W75" s="79" t="n">
        <v>8</v>
      </c>
      <c r="X75" s="79" t="n"/>
      <c r="Y75" s="79" t="inlineStr">
        <is>
          <t>Positive</t>
        </is>
      </c>
      <c r="Z75" s="79" t="n"/>
    </row>
    <row r="76">
      <c r="A76" s="63" t="n"/>
      <c r="B76" s="62" t="n">
        <v>25091645070910</v>
      </c>
      <c r="C76" s="58" t="n"/>
      <c r="D76" s="65" t="n"/>
      <c r="E76" s="62" t="n">
        <v>675020</v>
      </c>
      <c r="F76" s="63" t="inlineStr">
        <is>
          <t xml:space="preserve">Jannatul Ferdoush </t>
        </is>
      </c>
      <c r="G76" s="60" t="n">
        <v>1756266089</v>
      </c>
      <c r="H76" s="66" t="inlineStr">
        <is>
          <t>Feni</t>
        </is>
      </c>
      <c r="I76" s="63" t="inlineStr">
        <is>
          <t>Fashion</t>
        </is>
      </c>
      <c r="J76" s="63" t="inlineStr">
        <is>
          <t>Watches Sunglasses Jewellery</t>
        </is>
      </c>
      <c r="K76" s="62" t="n">
        <v>218</v>
      </c>
      <c r="L76" s="63" t="inlineStr">
        <is>
          <t>New Collection Stone Pearl Setting Tikli &amp; Earring Set For Women - Earring - Earring - কানের দুল - Earrings For Girls - Earring - Earring</t>
        </is>
      </c>
      <c r="M76" s="63" t="n"/>
      <c r="N76" s="79" t="n"/>
      <c r="O76" s="79" t="n"/>
      <c r="P76" s="79" t="n"/>
      <c r="Q76" s="79" t="n"/>
      <c r="R76" s="79" t="n"/>
      <c r="S76" s="79" t="n"/>
      <c r="T76" s="79" t="n"/>
      <c r="U76" s="79" t="n"/>
      <c r="V76" s="79" t="n"/>
      <c r="W76" s="79" t="n"/>
      <c r="X76" s="79" t="n"/>
      <c r="Y76" s="79" t="n"/>
      <c r="Z76" s="79" t="n"/>
    </row>
    <row r="77">
      <c r="A77" s="63" t="n"/>
      <c r="B77" s="62" t="n">
        <v>25092750102049</v>
      </c>
      <c r="C77" s="58" t="n"/>
      <c r="D77" s="65" t="n"/>
      <c r="E77" s="62" t="n">
        <v>517598</v>
      </c>
      <c r="F77" s="63" t="inlineStr">
        <is>
          <t>M A Mamun Rajvi</t>
        </is>
      </c>
      <c r="G77" s="60" t="n">
        <v>1831527943</v>
      </c>
      <c r="H77" s="66" t="inlineStr">
        <is>
          <t>Gachbaria</t>
        </is>
      </c>
      <c r="I77" s="63" t="inlineStr">
        <is>
          <t>FMCG</t>
        </is>
      </c>
      <c r="J77" s="63" t="inlineStr">
        <is>
          <t>Groceries</t>
        </is>
      </c>
      <c r="K77" s="62" t="n">
        <v>159</v>
      </c>
      <c r="L77" s="63" t="inlineStr">
        <is>
          <t>Seylon Family Blend Tea 400gm Foil Pack</t>
        </is>
      </c>
      <c r="M77" s="63" t="n"/>
      <c r="N77" s="79" t="n"/>
      <c r="O77" s="79" t="n"/>
      <c r="P77" s="79" t="n"/>
      <c r="Q77" s="79" t="n"/>
      <c r="R77" s="79" t="n"/>
      <c r="S77" s="79" t="n"/>
      <c r="T77" s="79" t="n"/>
      <c r="U77" s="79" t="n"/>
      <c r="V77" s="79" t="n"/>
      <c r="W77" s="79" t="n"/>
      <c r="X77" s="79" t="n"/>
      <c r="Y77" s="79" t="n"/>
      <c r="Z77" s="79" t="n"/>
    </row>
    <row r="78">
      <c r="A78" s="63" t="n"/>
      <c r="B78" s="62" t="n">
        <v>25091647816907</v>
      </c>
      <c r="C78" s="58" t="n"/>
      <c r="D78" s="65" t="n"/>
      <c r="E78" s="62" t="n">
        <v>690495</v>
      </c>
      <c r="F78" s="63" t="inlineStr">
        <is>
          <t xml:space="preserve">Mr./Ms. </t>
        </is>
      </c>
      <c r="G78" s="60" t="n">
        <v>1961684510</v>
      </c>
      <c r="H78" s="66" t="inlineStr">
        <is>
          <t>Gaibandha</t>
        </is>
      </c>
      <c r="I78" s="63" t="inlineStr">
        <is>
          <t>Lifestyle</t>
        </is>
      </c>
      <c r="J78" s="63" t="inlineStr">
        <is>
          <t>Motors</t>
        </is>
      </c>
      <c r="K78" s="62" t="n">
        <v>343</v>
      </c>
      <c r="L78" s="63" t="inlineStr">
        <is>
          <t>Rcb Handle Grips For Motorcycle. Gh66</t>
        </is>
      </c>
      <c r="M78" s="63" t="n"/>
      <c r="N78" s="79" t="n"/>
      <c r="O78" s="79" t="n"/>
      <c r="P78" s="79" t="n"/>
      <c r="Q78" s="79" t="n"/>
      <c r="R78" s="79" t="n"/>
      <c r="S78" s="79" t="n"/>
      <c r="T78" s="79" t="n"/>
      <c r="U78" s="79" t="n"/>
      <c r="V78" s="79" t="n"/>
      <c r="W78" s="79" t="n"/>
      <c r="X78" s="79" t="n"/>
      <c r="Y78" s="79" t="n"/>
      <c r="Z78" s="79" t="n"/>
    </row>
    <row r="79">
      <c r="A79" s="63" t="n"/>
      <c r="B79" s="62" t="n">
        <v>25091650330269</v>
      </c>
      <c r="C79" s="58" t="n"/>
      <c r="D79" s="65" t="n"/>
      <c r="E79" s="62" t="n">
        <v>674586</v>
      </c>
      <c r="F79" s="63" t="inlineStr">
        <is>
          <t xml:space="preserve">SK Sozib Babu </t>
        </is>
      </c>
      <c r="G79" s="60" t="n">
        <v>1868903834</v>
      </c>
      <c r="H79" s="61" t="inlineStr">
        <is>
          <t>Gaibandha</t>
        </is>
      </c>
      <c r="I79" s="63" t="inlineStr">
        <is>
          <t>Lifestyle</t>
        </is>
      </c>
      <c r="J79" s="63" t="inlineStr">
        <is>
          <t>Tools, DIY  Outdoor</t>
        </is>
      </c>
      <c r="K79" s="62" t="n">
        <v>114</v>
      </c>
      <c r="L79" s="63" t="inlineStr">
        <is>
          <t>Multifunctional Bluetooth power amplifier board 3.7V  5W power amplifier circuit board audio module Premium Quality Sound</t>
        </is>
      </c>
      <c r="M79" s="63" t="n"/>
      <c r="N79" s="79" t="n"/>
      <c r="O79" s="79" t="n"/>
      <c r="P79" s="79" t="n"/>
      <c r="Q79" s="79" t="n"/>
      <c r="R79" s="79" t="n"/>
      <c r="S79" s="79" t="n"/>
      <c r="T79" s="79" t="n"/>
      <c r="U79" s="79" t="n"/>
      <c r="V79" s="79" t="n"/>
      <c r="W79" s="79" t="n"/>
      <c r="X79" s="79" t="n"/>
      <c r="Y79" s="79" t="n"/>
      <c r="Z79" s="79" t="n"/>
    </row>
    <row r="80">
      <c r="A80" s="63" t="n"/>
      <c r="B80" s="62" t="n">
        <v>25091660619037</v>
      </c>
      <c r="C80" s="58" t="n"/>
      <c r="D80" s="65" t="n"/>
      <c r="E80" s="62" t="n">
        <v>572072</v>
      </c>
      <c r="F80" s="63" t="inlineStr">
        <is>
          <t xml:space="preserve">Jony </t>
        </is>
      </c>
      <c r="G80" s="60" t="n">
        <v>1782400642</v>
      </c>
      <c r="H80" s="61" t="inlineStr">
        <is>
          <t>Gaibandha</t>
        </is>
      </c>
      <c r="I80" s="63" t="inlineStr">
        <is>
          <t>Fashion</t>
        </is>
      </c>
      <c r="J80" s="63" t="inlineStr">
        <is>
          <t>Fashion</t>
        </is>
      </c>
      <c r="K80" s="62" t="n">
        <v>376</v>
      </c>
      <c r="L80" s="63" t="inlineStr">
        <is>
          <t>India T20 World Cup Jersey - India 4part Short Sleeve Polo Jersey For Men - India Cricket Jersey 2024-25</t>
        </is>
      </c>
      <c r="M80" s="63" t="n"/>
      <c r="N80" s="79" t="n"/>
      <c r="O80" s="79" t="n"/>
      <c r="P80" s="79" t="n"/>
      <c r="Q80" s="79" t="n"/>
      <c r="R80" s="79" t="n"/>
      <c r="S80" s="79" t="n"/>
      <c r="T80" s="79" t="n"/>
      <c r="U80" s="79" t="n"/>
      <c r="V80" s="79" t="n"/>
      <c r="W80" s="79" t="n"/>
      <c r="X80" s="79" t="n"/>
      <c r="Y80" s="79" t="n"/>
      <c r="Z80" s="79" t="n"/>
    </row>
    <row r="81">
      <c r="A81" s="63" t="n"/>
      <c r="B81" s="62" t="n">
        <v>25091665406566</v>
      </c>
      <c r="C81" s="58" t="n"/>
      <c r="D81" s="65" t="n"/>
      <c r="E81" s="62" t="n">
        <v>690692</v>
      </c>
      <c r="F81" s="63" t="inlineStr">
        <is>
          <t xml:space="preserve">arif jim </t>
        </is>
      </c>
      <c r="G81" s="60" t="n">
        <v>1857491660</v>
      </c>
      <c r="H81" s="66" t="inlineStr">
        <is>
          <t>Gaibandha</t>
        </is>
      </c>
      <c r="I81" s="63" t="inlineStr">
        <is>
          <t>Lifestyle</t>
        </is>
      </c>
      <c r="J81" s="63" t="inlineStr">
        <is>
          <t>Toys  Games</t>
        </is>
      </c>
      <c r="K81" s="62" t="n">
        <v>566</v>
      </c>
      <c r="L81" s="63" t="inlineStr">
        <is>
          <t>Kids Avengers New Spider Man Costume</t>
        </is>
      </c>
      <c r="M81" s="63" t="n"/>
      <c r="N81" s="79" t="n"/>
      <c r="O81" s="79" t="n"/>
      <c r="P81" s="79" t="n"/>
      <c r="Q81" s="79" t="n"/>
      <c r="R81" s="79" t="n"/>
      <c r="S81" s="79" t="n"/>
      <c r="T81" s="79" t="n"/>
      <c r="U81" s="79" t="n"/>
      <c r="V81" s="79" t="n"/>
      <c r="W81" s="79" t="n"/>
      <c r="X81" s="79" t="n"/>
      <c r="Y81" s="79" t="n"/>
      <c r="Z81" s="79" t="n"/>
    </row>
    <row r="82">
      <c r="A82" s="63" t="n"/>
      <c r="B82" s="62" t="n">
        <v>25091610088066</v>
      </c>
      <c r="C82" s="67" t="inlineStr">
        <is>
          <t>Mir Ahsan Abid</t>
        </is>
      </c>
      <c r="D82" s="65" t="n"/>
      <c r="E82" s="62" t="n">
        <v>692547</v>
      </c>
      <c r="F82" s="63" t="inlineStr">
        <is>
          <t xml:space="preserve">Mr./Ms. </t>
        </is>
      </c>
      <c r="G82" s="60" t="n">
        <v>1749242495</v>
      </c>
      <c r="H82" s="61" t="inlineStr">
        <is>
          <t>Gazipur</t>
        </is>
      </c>
      <c r="I82" s="63" t="inlineStr">
        <is>
          <t>FMCG</t>
        </is>
      </c>
      <c r="J82" s="63" t="inlineStr">
        <is>
          <t>Medicine</t>
        </is>
      </c>
      <c r="K82" s="62" t="n">
        <v>665</v>
      </c>
      <c r="L82" s="63" t="inlineStr">
        <is>
          <t>Digital Arm Blood Pulse Pressure Monitor Electric Voice Tonometer Meter Health Care 99 Memory Sets Household Sphygmomanometer</t>
        </is>
      </c>
      <c r="M82" s="63" t="inlineStr">
        <is>
          <t>Not Connected</t>
        </is>
      </c>
      <c r="N82" s="79" t="n"/>
      <c r="O82" s="79" t="n"/>
      <c r="P82" s="79" t="n"/>
      <c r="Q82" s="79" t="n"/>
      <c r="R82" s="79" t="n"/>
      <c r="S82" s="79" t="n"/>
      <c r="T82" s="79" t="n"/>
      <c r="U82" s="79" t="n"/>
      <c r="V82" s="79" t="n"/>
      <c r="W82" s="79" t="n"/>
      <c r="X82" s="69" t="n"/>
      <c r="Y82" s="79" t="n"/>
      <c r="Z82" s="79" t="n"/>
    </row>
    <row r="83">
      <c r="A83" s="63" t="n"/>
      <c r="B83" s="62" t="n">
        <v>25091613078676</v>
      </c>
      <c r="C83" s="67" t="inlineStr">
        <is>
          <t>Mir Ahsan Abid</t>
        </is>
      </c>
      <c r="D83" s="63" t="n"/>
      <c r="E83" s="62" t="n">
        <v>45871</v>
      </c>
      <c r="F83" s="63" t="inlineStr">
        <is>
          <t xml:space="preserve">Mr./Ms. </t>
        </is>
      </c>
      <c r="G83" s="60" t="n">
        <v>1313475620</v>
      </c>
      <c r="H83" s="61" t="inlineStr">
        <is>
          <t>Gazipur</t>
        </is>
      </c>
      <c r="I83" s="63" t="inlineStr">
        <is>
          <t>Lifestyle</t>
        </is>
      </c>
      <c r="J83" s="63" t="inlineStr">
        <is>
          <t>Stationery  Craft</t>
        </is>
      </c>
      <c r="K83" s="62" t="n">
        <v>240</v>
      </c>
      <c r="L83" s="63" t="inlineStr">
        <is>
          <t>Cartup Large Poly - 35 x 32 x 4.5 cm - (Bundle of 10 Pcs)</t>
        </is>
      </c>
      <c r="M83" s="63" t="inlineStr">
        <is>
          <t>Not Connected</t>
        </is>
      </c>
      <c r="N83" s="79" t="n"/>
      <c r="O83" s="79" t="n"/>
      <c r="P83" s="79" t="n"/>
      <c r="Q83" s="79" t="n"/>
      <c r="R83" s="79" t="n"/>
      <c r="S83" s="79" t="n"/>
      <c r="T83" s="79" t="n"/>
      <c r="U83" s="79" t="n"/>
      <c r="V83" s="79" t="n"/>
      <c r="W83" s="79" t="n"/>
      <c r="X83" s="79" t="n"/>
      <c r="Y83" s="79" t="n"/>
      <c r="Z83" s="79" t="n"/>
    </row>
    <row r="84">
      <c r="A84" s="63" t="n"/>
      <c r="B84" s="62" t="n">
        <v>25091613242208</v>
      </c>
      <c r="C84" s="67" t="inlineStr">
        <is>
          <t>Mir Ahsan Abid</t>
        </is>
      </c>
      <c r="D84" s="63" t="n"/>
      <c r="E84" s="62" t="n">
        <v>174513</v>
      </c>
      <c r="F84" s="63" t="inlineStr">
        <is>
          <t xml:space="preserve">Mr./Ms. </t>
        </is>
      </c>
      <c r="G84" s="60" t="n">
        <v>1829673247</v>
      </c>
      <c r="H84" s="61" t="inlineStr">
        <is>
          <t>Gazipur</t>
        </is>
      </c>
      <c r="I84" s="63" t="inlineStr">
        <is>
          <t>FMCG</t>
        </is>
      </c>
      <c r="J84" s="63" t="inlineStr">
        <is>
          <t>Groceries</t>
        </is>
      </c>
      <c r="K84" s="62" t="n">
        <v>720</v>
      </c>
      <c r="L84" s="63" t="inlineStr">
        <is>
          <t>Happy Cow Instant Milk Powder 1KG</t>
        </is>
      </c>
      <c r="M84" s="63" t="inlineStr">
        <is>
          <t xml:space="preserve">Connected </t>
        </is>
      </c>
      <c r="N84" s="79" t="inlineStr">
        <is>
          <t>Yes</t>
        </is>
      </c>
      <c r="O84" s="79" t="inlineStr">
        <is>
          <t>On time</t>
        </is>
      </c>
      <c r="P84" s="79" t="n"/>
      <c r="Q84" s="79" t="n"/>
      <c r="R84" s="79" t="inlineStr">
        <is>
          <t>Very polite</t>
        </is>
      </c>
      <c r="S84" s="79" t="inlineStr">
        <is>
          <t>Not Damaged</t>
        </is>
      </c>
      <c r="T84" s="79" t="inlineStr">
        <is>
          <t>Didn't check</t>
        </is>
      </c>
      <c r="U84" s="79" t="n"/>
      <c r="V84" s="79" t="n"/>
      <c r="W84" s="79" t="n">
        <v>7</v>
      </c>
      <c r="X84" s="79" t="n"/>
      <c r="Y84" s="79" t="inlineStr">
        <is>
          <t>Neutral</t>
        </is>
      </c>
      <c r="Z84" s="79" t="n"/>
    </row>
    <row r="85">
      <c r="A85" s="63" t="n"/>
      <c r="B85" s="62" t="n">
        <v>25091614017243</v>
      </c>
      <c r="C85" s="67" t="inlineStr">
        <is>
          <t>Mir Ahsan Abid</t>
        </is>
      </c>
      <c r="D85" s="63" t="n"/>
      <c r="E85" s="62" t="n">
        <v>690300</v>
      </c>
      <c r="F85" s="63" t="inlineStr">
        <is>
          <t xml:space="preserve">Mr./Ms. </t>
        </is>
      </c>
      <c r="G85" s="60" t="n">
        <v>1719625671</v>
      </c>
      <c r="H85" s="66" t="inlineStr">
        <is>
          <t>Gazipur</t>
        </is>
      </c>
      <c r="I85" s="63" t="inlineStr">
        <is>
          <t>Lifestyle</t>
        </is>
      </c>
      <c r="J85" s="63" t="inlineStr">
        <is>
          <t>Kitchen  Dining</t>
        </is>
      </c>
      <c r="K85" s="62" t="n">
        <v>260</v>
      </c>
      <c r="L85" s="63" t="inlineStr">
        <is>
          <t>Double-Layer Egg Dispenser Automatic Roll-Down Egg Storage Rack Slide Egg Carton Refrigerator Egg Basket Kitchen Countertop Egg Holder</t>
        </is>
      </c>
      <c r="M85" s="63" t="inlineStr">
        <is>
          <t xml:space="preserve">Connected </t>
        </is>
      </c>
      <c r="N85" s="79" t="inlineStr">
        <is>
          <t>Yes</t>
        </is>
      </c>
      <c r="O85" s="79" t="inlineStr">
        <is>
          <t>Earlier than expected</t>
        </is>
      </c>
      <c r="P85" s="79" t="n"/>
      <c r="Q85" s="79" t="n"/>
      <c r="R85" s="79" t="inlineStr">
        <is>
          <t>Very polite</t>
        </is>
      </c>
      <c r="S85" s="79" t="inlineStr">
        <is>
          <t>Not Damaged</t>
        </is>
      </c>
      <c r="T85" s="79" t="inlineStr">
        <is>
          <t>Yes</t>
        </is>
      </c>
      <c r="U85" s="79" t="n"/>
      <c r="V85" s="79" t="n"/>
      <c r="W85" s="79" t="n">
        <v>10</v>
      </c>
      <c r="X85" s="79" t="n"/>
      <c r="Y85" s="79" t="inlineStr">
        <is>
          <t>Positive</t>
        </is>
      </c>
      <c r="Z85" s="79" t="n"/>
    </row>
    <row r="86">
      <c r="A86" s="63" t="n"/>
      <c r="B86" s="62" t="n">
        <v>25091610050275</v>
      </c>
      <c r="C86" s="67" t="inlineStr">
        <is>
          <t>Mir Ahsan Abid</t>
        </is>
      </c>
      <c r="D86" s="65" t="n"/>
      <c r="E86" s="62" t="n">
        <v>423729</v>
      </c>
      <c r="F86" s="63" t="inlineStr">
        <is>
          <t xml:space="preserve">Mr./Ms. </t>
        </is>
      </c>
      <c r="G86" s="60" t="n">
        <v>1410072998</v>
      </c>
      <c r="H86" s="66" t="inlineStr">
        <is>
          <t>Gopalgonj</t>
        </is>
      </c>
      <c r="I86" s="63" t="inlineStr">
        <is>
          <t>FMCG</t>
        </is>
      </c>
      <c r="J86" s="63" t="inlineStr">
        <is>
          <t>Groceries</t>
        </is>
      </c>
      <c r="K86" s="62" t="n">
        <v>485</v>
      </c>
      <c r="L86" s="63" t="inlineStr">
        <is>
          <t>GoodKnight Liquid Mosquito Repellant Refill 45ml</t>
        </is>
      </c>
      <c r="M86" s="63" t="inlineStr">
        <is>
          <t>Not Connected</t>
        </is>
      </c>
      <c r="N86" s="79" t="n"/>
      <c r="O86" s="79" t="n"/>
      <c r="P86" s="79" t="n"/>
      <c r="Q86" s="79" t="n"/>
      <c r="R86" s="79" t="n"/>
      <c r="S86" s="79" t="n"/>
      <c r="T86" s="79" t="n"/>
      <c r="U86" s="70" t="n"/>
      <c r="V86" s="79" t="n"/>
      <c r="W86" s="79" t="n"/>
      <c r="X86" s="69" t="n"/>
      <c r="Y86" s="79" t="n"/>
      <c r="Z86" s="79" t="n"/>
    </row>
    <row r="87">
      <c r="A87" s="63" t="n"/>
      <c r="B87" s="62" t="n">
        <v>25091647596310</v>
      </c>
      <c r="C87" s="58" t="n"/>
      <c r="D87" s="65" t="n"/>
      <c r="E87" s="62" t="n">
        <v>224109</v>
      </c>
      <c r="F87" s="63" t="inlineStr">
        <is>
          <t xml:space="preserve">Mr./Ms. </t>
        </is>
      </c>
      <c r="G87" s="60" t="n">
        <v>1752822555</v>
      </c>
      <c r="H87" s="66" t="inlineStr">
        <is>
          <t>Gopalgonj</t>
        </is>
      </c>
      <c r="I87" s="63" t="inlineStr">
        <is>
          <t>FMCG</t>
        </is>
      </c>
      <c r="J87" s="63" t="inlineStr">
        <is>
          <t>Health  Beauty</t>
        </is>
      </c>
      <c r="K87" s="62" t="n">
        <v>296</v>
      </c>
      <c r="L87" s="63" t="inlineStr">
        <is>
          <t>Pond's Face Wash Bright Beauty 100g</t>
        </is>
      </c>
      <c r="M87" s="63" t="n"/>
      <c r="N87" s="79" t="n"/>
      <c r="O87" s="79" t="n"/>
      <c r="P87" s="79" t="n"/>
      <c r="Q87" s="79" t="n"/>
      <c r="R87" s="79" t="n"/>
      <c r="S87" s="79" t="n"/>
      <c r="T87" s="79" t="n"/>
      <c r="U87" s="79" t="n"/>
      <c r="V87" s="79" t="n"/>
      <c r="W87" s="79" t="n"/>
      <c r="X87" s="79" t="n"/>
      <c r="Y87" s="79" t="n"/>
      <c r="Z87" s="79" t="n"/>
    </row>
    <row r="88">
      <c r="A88" s="63" t="n"/>
      <c r="B88" s="62" t="n">
        <v>25091653788695</v>
      </c>
      <c r="C88" s="58" t="n"/>
      <c r="D88" s="65" t="n"/>
      <c r="E88" s="62" t="n">
        <v>562456</v>
      </c>
      <c r="F88" s="63" t="inlineStr">
        <is>
          <t>M M Delowar hossain</t>
        </is>
      </c>
      <c r="G88" s="60" t="n">
        <v>1713519214</v>
      </c>
      <c r="H88" s="66" t="inlineStr">
        <is>
          <t>Gopalgonj</t>
        </is>
      </c>
      <c r="I88" s="63" t="inlineStr">
        <is>
          <t>Electronics</t>
        </is>
      </c>
      <c r="J88" s="63" t="inlineStr">
        <is>
          <t>Mobiles  Tablets</t>
        </is>
      </c>
      <c r="K88" s="62" t="n">
        <v>93</v>
      </c>
      <c r="L88" s="63" t="inlineStr">
        <is>
          <t>Transparent back cover For vivo V40 5G Luxury transparent Protect Back Cover Soft Case</t>
        </is>
      </c>
      <c r="M88" s="63" t="n"/>
      <c r="N88" s="79" t="n"/>
      <c r="O88" s="79" t="n"/>
      <c r="P88" s="79" t="n"/>
      <c r="Q88" s="79" t="n"/>
      <c r="R88" s="79" t="n"/>
      <c r="S88" s="79" t="n"/>
      <c r="T88" s="79" t="n"/>
      <c r="U88" s="79" t="n"/>
      <c r="V88" s="79" t="n"/>
      <c r="W88" s="79" t="n"/>
      <c r="X88" s="79" t="n"/>
      <c r="Y88" s="79" t="n"/>
      <c r="Z88" s="79" t="n"/>
    </row>
    <row r="89">
      <c r="A89" s="63" t="n"/>
      <c r="B89" s="62" t="n">
        <v>25091679860484</v>
      </c>
      <c r="C89" s="58" t="n"/>
      <c r="D89" s="65" t="n"/>
      <c r="E89" s="62" t="n">
        <v>36164</v>
      </c>
      <c r="F89" s="63" t="inlineStr">
        <is>
          <t>Digonto Lasker</t>
        </is>
      </c>
      <c r="G89" s="60" t="n">
        <v>1964074727</v>
      </c>
      <c r="H89" s="66" t="inlineStr">
        <is>
          <t>Gopalgonj</t>
        </is>
      </c>
      <c r="I89" s="63" t="inlineStr">
        <is>
          <t>Fashion</t>
        </is>
      </c>
      <c r="J89" s="63" t="inlineStr">
        <is>
          <t>Fashion</t>
        </is>
      </c>
      <c r="K89" s="62" t="n">
        <v>1000</v>
      </c>
      <c r="L89" s="63" t="inlineStr">
        <is>
          <t>Redtape Classic Multi-Color Edition Sneakers for Men</t>
        </is>
      </c>
      <c r="M89" s="63" t="n"/>
      <c r="N89" s="79" t="n"/>
      <c r="O89" s="79" t="n"/>
      <c r="P89" s="79" t="n"/>
      <c r="Q89" s="79" t="n"/>
      <c r="R89" s="79" t="n"/>
      <c r="S89" s="79" t="n"/>
      <c r="T89" s="79" t="n"/>
      <c r="U89" s="79" t="n"/>
      <c r="V89" s="79" t="n"/>
      <c r="W89" s="79" t="n"/>
      <c r="X89" s="79" t="n"/>
      <c r="Y89" s="79" t="n"/>
      <c r="Z89" s="79" t="n"/>
    </row>
    <row r="90">
      <c r="A90" s="63" t="n"/>
      <c r="B90" s="62" t="n">
        <v>25091612333969</v>
      </c>
      <c r="C90" s="67" t="inlineStr">
        <is>
          <t>Mir Ahsan Abid</t>
        </is>
      </c>
      <c r="D90" s="63" t="n"/>
      <c r="E90" s="62" t="n">
        <v>673485</v>
      </c>
      <c r="F90" s="63" t="inlineStr">
        <is>
          <t xml:space="preserve">SHUHAG PS </t>
        </is>
      </c>
      <c r="G90" s="60" t="n">
        <v>1742906707</v>
      </c>
      <c r="H90" s="66" t="inlineStr">
        <is>
          <t>Habiganj</t>
        </is>
      </c>
      <c r="I90" s="63" t="inlineStr">
        <is>
          <t>FMCG</t>
        </is>
      </c>
      <c r="J90" s="63" t="inlineStr">
        <is>
          <t>Groceries</t>
        </is>
      </c>
      <c r="K90" s="62" t="n">
        <v>148</v>
      </c>
      <c r="L90" s="63" t="inlineStr">
        <is>
          <t>Oreo Biscuits Original - 113.75 gm</t>
        </is>
      </c>
      <c r="M90" s="63" t="inlineStr">
        <is>
          <t>Not Connected</t>
        </is>
      </c>
      <c r="N90" s="79" t="n"/>
      <c r="O90" s="79" t="n"/>
      <c r="P90" s="79" t="n"/>
      <c r="Q90" s="79" t="n"/>
      <c r="R90" s="79" t="n"/>
      <c r="S90" s="79" t="n"/>
      <c r="T90" s="79" t="n"/>
      <c r="U90" s="79" t="n"/>
      <c r="V90" s="79" t="n"/>
      <c r="W90" s="79" t="n"/>
      <c r="X90" s="79" t="n"/>
      <c r="Y90" s="79" t="n"/>
      <c r="Z90" s="79" t="n"/>
    </row>
    <row r="91">
      <c r="A91" s="63" t="n"/>
      <c r="B91" s="62" t="n">
        <v>25091627137242</v>
      </c>
      <c r="C91" s="67" t="inlineStr">
        <is>
          <t>Mir Ahsan Abid</t>
        </is>
      </c>
      <c r="D91" s="63" t="n"/>
      <c r="E91" s="62" t="n">
        <v>673485</v>
      </c>
      <c r="F91" s="63" t="inlineStr">
        <is>
          <t xml:space="preserve">SHUHAG PS </t>
        </is>
      </c>
      <c r="G91" s="60" t="n">
        <v>1742906707</v>
      </c>
      <c r="H91" s="61" t="inlineStr">
        <is>
          <t>Habiganj</t>
        </is>
      </c>
      <c r="I91" s="63" t="inlineStr">
        <is>
          <t>Fashion</t>
        </is>
      </c>
      <c r="J91" s="63" t="inlineStr">
        <is>
          <t>Watches Sunglasses Jewellery</t>
        </is>
      </c>
      <c r="K91" s="62" t="n">
        <v>408</v>
      </c>
      <c r="L91" s="63" t="inlineStr">
        <is>
          <t>New Men's Digital Sports Watch - Waterproof with Stopwatch -157</t>
        </is>
      </c>
      <c r="M91" s="63" t="inlineStr">
        <is>
          <t>Not Connected</t>
        </is>
      </c>
      <c r="N91" s="79" t="n"/>
      <c r="O91" s="79" t="n"/>
      <c r="P91" s="79" t="n"/>
      <c r="Q91" s="79" t="n"/>
      <c r="R91" s="79" t="n"/>
      <c r="S91" s="79" t="n"/>
      <c r="T91" s="79" t="n"/>
      <c r="U91" s="79" t="n"/>
      <c r="V91" s="79" t="n"/>
      <c r="W91" s="79" t="n"/>
      <c r="X91" s="79" t="n"/>
      <c r="Y91" s="79" t="n"/>
      <c r="Z91" s="79" t="n"/>
    </row>
    <row r="92">
      <c r="A92" s="63" t="n"/>
      <c r="B92" s="62" t="n">
        <v>25091670054357</v>
      </c>
      <c r="C92" s="58" t="n"/>
      <c r="D92" s="65" t="n"/>
      <c r="E92" s="62" t="n">
        <v>579027</v>
      </c>
      <c r="F92" s="63" t="inlineStr">
        <is>
          <t>Mr iqbal</t>
        </is>
      </c>
      <c r="G92" s="60" t="n">
        <v>1741288314</v>
      </c>
      <c r="H92" s="61" t="inlineStr">
        <is>
          <t>Habiganj</t>
        </is>
      </c>
      <c r="I92" s="63" t="inlineStr">
        <is>
          <t>FMCG</t>
        </is>
      </c>
      <c r="J92" s="63" t="inlineStr">
        <is>
          <t>Groceries</t>
        </is>
      </c>
      <c r="K92" s="62" t="n">
        <v>58</v>
      </c>
      <c r="L92" s="63" t="inlineStr">
        <is>
          <t>Mr. Noodles Cup Noodles Magic Masala 40gm</t>
        </is>
      </c>
      <c r="M92" s="63" t="n"/>
      <c r="N92" s="79" t="n"/>
      <c r="O92" s="79" t="n"/>
      <c r="P92" s="79" t="n"/>
      <c r="Q92" s="79" t="n"/>
      <c r="R92" s="79" t="n"/>
      <c r="S92" s="79" t="n"/>
      <c r="T92" s="79" t="n"/>
      <c r="U92" s="79" t="n"/>
      <c r="V92" s="79" t="n"/>
      <c r="W92" s="79" t="n"/>
      <c r="X92" s="79" t="n"/>
      <c r="Y92" s="79" t="n"/>
      <c r="Z92" s="79" t="n"/>
    </row>
    <row r="93">
      <c r="A93" s="63" t="n"/>
      <c r="B93" s="62" t="n">
        <v>25091672203422</v>
      </c>
      <c r="C93" s="58" t="n"/>
      <c r="D93" s="65" t="n"/>
      <c r="E93" s="62" t="n">
        <v>586950</v>
      </c>
      <c r="F93" s="63" t="inlineStr">
        <is>
          <t xml:space="preserve">খান তামিম </t>
        </is>
      </c>
      <c r="G93" s="60" t="n">
        <v>1781361051</v>
      </c>
      <c r="H93" s="66" t="inlineStr">
        <is>
          <t>Habiganj</t>
        </is>
      </c>
      <c r="I93" s="63" t="inlineStr">
        <is>
          <t>Lifestyle</t>
        </is>
      </c>
      <c r="J93" s="63" t="inlineStr">
        <is>
          <t>Kitchen  Dining</t>
        </is>
      </c>
      <c r="K93" s="62" t="n">
        <v>570</v>
      </c>
      <c r="L93" s="63" t="inlineStr">
        <is>
          <t>Divided Plate 4 Section - Round 4 Compartment Stainless Steel Plate</t>
        </is>
      </c>
      <c r="M93" s="63" t="n"/>
      <c r="N93" s="79" t="n"/>
      <c r="O93" s="79" t="n"/>
      <c r="P93" s="79" t="n"/>
      <c r="Q93" s="79" t="n"/>
      <c r="R93" s="79" t="n"/>
      <c r="S93" s="79" t="n"/>
      <c r="T93" s="79" t="n"/>
      <c r="U93" s="79" t="n"/>
      <c r="V93" s="79" t="n"/>
      <c r="W93" s="79" t="n"/>
      <c r="X93" s="79" t="n"/>
      <c r="Y93" s="79" t="n"/>
      <c r="Z93" s="79" t="n"/>
    </row>
    <row r="94">
      <c r="A94" s="63" t="n"/>
      <c r="B94" s="62" t="n">
        <v>25091933522314</v>
      </c>
      <c r="C94" s="58" t="n"/>
      <c r="D94" s="65" t="n"/>
      <c r="E94" s="62" t="n">
        <v>701176</v>
      </c>
      <c r="F94" s="63" t="inlineStr">
        <is>
          <t xml:space="preserve">Jowel Rana </t>
        </is>
      </c>
      <c r="G94" s="60" t="n">
        <v>1785327963</v>
      </c>
      <c r="H94" s="66" t="inlineStr">
        <is>
          <t>Ishwardi</t>
        </is>
      </c>
      <c r="I94" s="63" t="inlineStr">
        <is>
          <t>Lifestyle</t>
        </is>
      </c>
      <c r="J94" s="63" t="inlineStr">
        <is>
          <t>Tools, DIY  Outdoor</t>
        </is>
      </c>
      <c r="K94" s="62" t="n">
        <v>220</v>
      </c>
      <c r="L94" s="63" t="inlineStr">
        <is>
          <t>DT830D Digital Multimeter Multitester LCD Display</t>
        </is>
      </c>
      <c r="M94" s="63" t="n"/>
      <c r="N94" s="79" t="n"/>
      <c r="O94" s="79" t="n"/>
      <c r="P94" s="79" t="n"/>
      <c r="Q94" s="79" t="n"/>
      <c r="R94" s="79" t="n"/>
      <c r="S94" s="79" t="n"/>
      <c r="T94" s="79" t="n"/>
      <c r="U94" s="79" t="n"/>
      <c r="V94" s="79" t="n"/>
      <c r="W94" s="79" t="n"/>
      <c r="X94" s="79" t="n"/>
      <c r="Y94" s="79" t="n"/>
      <c r="Z94" s="79" t="n"/>
    </row>
    <row r="95">
      <c r="A95" s="63" t="n"/>
      <c r="B95" s="62" t="n">
        <v>25091616908835</v>
      </c>
      <c r="C95" s="67" t="inlineStr">
        <is>
          <t>Mir Ahsan Abid</t>
        </is>
      </c>
      <c r="D95" s="63" t="n"/>
      <c r="E95" s="62" t="n">
        <v>111766</v>
      </c>
      <c r="F95" s="63" t="inlineStr">
        <is>
          <t xml:space="preserve">Mr./Ms. </t>
        </is>
      </c>
      <c r="G95" s="60" t="n">
        <v>1614345605</v>
      </c>
      <c r="H95" s="61" t="inlineStr">
        <is>
          <t>Jamalpur</t>
        </is>
      </c>
      <c r="I95" s="63" t="inlineStr">
        <is>
          <t>FMCG</t>
        </is>
      </c>
      <c r="J95" s="63" t="inlineStr">
        <is>
          <t>Groceries</t>
        </is>
      </c>
      <c r="K95" s="62" t="n">
        <v>128</v>
      </c>
      <c r="L95" s="63" t="inlineStr">
        <is>
          <t>Wheel Washing (Detergent) Powder 2in1 Clean &amp; Fresh 1Kg</t>
        </is>
      </c>
      <c r="M95" s="63" t="inlineStr">
        <is>
          <t xml:space="preserve">Connected </t>
        </is>
      </c>
      <c r="N95" s="79" t="inlineStr">
        <is>
          <t>Yes</t>
        </is>
      </c>
      <c r="O95" s="79" t="inlineStr">
        <is>
          <t>On time</t>
        </is>
      </c>
      <c r="P95" s="79" t="n"/>
      <c r="Q95" s="79" t="n"/>
      <c r="R95" s="79" t="inlineStr">
        <is>
          <t>Very polite</t>
        </is>
      </c>
      <c r="S95" s="79" t="inlineStr">
        <is>
          <t>Not Damaged</t>
        </is>
      </c>
      <c r="T95" s="79" t="inlineStr">
        <is>
          <t>Yes</t>
        </is>
      </c>
      <c r="U95" s="79" t="n"/>
      <c r="V95" s="79" t="n"/>
      <c r="W95" s="79" t="n">
        <v>9</v>
      </c>
      <c r="X95" s="79" t="n"/>
      <c r="Y95" s="79" t="inlineStr">
        <is>
          <t>Positive</t>
        </is>
      </c>
      <c r="Z95" s="79" t="n"/>
    </row>
    <row r="96">
      <c r="A96" s="63" t="n"/>
      <c r="B96" s="62" t="n">
        <v>25091617877234</v>
      </c>
      <c r="C96" s="67" t="inlineStr">
        <is>
          <t>Mir Ahsan Abid</t>
        </is>
      </c>
      <c r="D96" s="63" t="n"/>
      <c r="E96" s="62" t="n">
        <v>638148</v>
      </c>
      <c r="F96" s="63" t="inlineStr">
        <is>
          <t xml:space="preserve">Abdur Razzak </t>
        </is>
      </c>
      <c r="G96" s="60" t="n">
        <v>1734418408</v>
      </c>
      <c r="H96" s="66" t="inlineStr">
        <is>
          <t>Jamalpur</t>
        </is>
      </c>
      <c r="I96" s="63" t="inlineStr">
        <is>
          <t>Fashion</t>
        </is>
      </c>
      <c r="J96" s="63" t="inlineStr">
        <is>
          <t>Fashion</t>
        </is>
      </c>
      <c r="K96" s="62" t="n">
        <v>239</v>
      </c>
      <c r="L96" s="63" t="inlineStr">
        <is>
          <t>4 pieces Cotton Bra for Girls &amp; Women - Bra</t>
        </is>
      </c>
      <c r="M96" s="63" t="inlineStr">
        <is>
          <t>Not Connected</t>
        </is>
      </c>
      <c r="N96" s="79" t="n"/>
      <c r="O96" s="79" t="n"/>
      <c r="P96" s="79" t="n"/>
      <c r="Q96" s="79" t="n"/>
      <c r="R96" s="79" t="n"/>
      <c r="S96" s="79" t="n"/>
      <c r="T96" s="79" t="n"/>
      <c r="U96" s="79" t="n"/>
      <c r="V96" s="79" t="n"/>
      <c r="W96" s="79" t="n"/>
      <c r="X96" s="79" t="n"/>
      <c r="Y96" s="79" t="n"/>
      <c r="Z96" s="79" t="n"/>
    </row>
    <row r="97">
      <c r="A97" s="63" t="n"/>
      <c r="B97" s="62" t="n">
        <v>25091632585011</v>
      </c>
      <c r="C97" s="58" t="n"/>
      <c r="D97" s="63" t="n"/>
      <c r="E97" s="62" t="n">
        <v>691253</v>
      </c>
      <c r="F97" s="63" t="inlineStr">
        <is>
          <t xml:space="preserve">Dk Nur </t>
        </is>
      </c>
      <c r="G97" s="60" t="n">
        <v>1611651277</v>
      </c>
      <c r="H97" s="66" t="inlineStr">
        <is>
          <t>Jamalpur</t>
        </is>
      </c>
      <c r="I97" s="63" t="inlineStr">
        <is>
          <t>Lifestyle</t>
        </is>
      </c>
      <c r="J97" s="63" t="inlineStr">
        <is>
          <t>Sports  Outdoors</t>
        </is>
      </c>
      <c r="K97" s="62" t="n">
        <v>545</v>
      </c>
      <c r="L97" s="63" t="inlineStr">
        <is>
          <t>Bikers Bag / Waist Bag / Leg Bag / Light Weight Bag</t>
        </is>
      </c>
      <c r="M97" s="63" t="n"/>
      <c r="N97" s="79" t="n"/>
      <c r="O97" s="79" t="n"/>
      <c r="P97" s="79" t="n"/>
      <c r="Q97" s="79" t="n"/>
      <c r="R97" s="79" t="n"/>
      <c r="S97" s="79" t="n"/>
      <c r="T97" s="79" t="n"/>
      <c r="U97" s="79" t="n"/>
      <c r="V97" s="79" t="n"/>
      <c r="W97" s="79" t="n"/>
      <c r="X97" s="79" t="n"/>
      <c r="Y97" s="79" t="n"/>
      <c r="Z97" s="79" t="n"/>
    </row>
    <row r="98">
      <c r="A98" s="63" t="n"/>
      <c r="B98" s="62" t="n">
        <v>25091643098904</v>
      </c>
      <c r="C98" s="58" t="n"/>
      <c r="D98" s="65" t="n"/>
      <c r="E98" s="62" t="n">
        <v>521105</v>
      </c>
      <c r="F98" s="63" t="inlineStr">
        <is>
          <t xml:space="preserve">Mr./Ms. </t>
        </is>
      </c>
      <c r="G98" s="60" t="n">
        <v>1679680021</v>
      </c>
      <c r="H98" s="61" t="inlineStr">
        <is>
          <t>Jamalpur</t>
        </is>
      </c>
      <c r="I98" s="63" t="inlineStr">
        <is>
          <t>FMCG</t>
        </is>
      </c>
      <c r="J98" s="63" t="inlineStr">
        <is>
          <t>Groceries</t>
        </is>
      </c>
      <c r="K98" s="62" t="n">
        <v>86</v>
      </c>
      <c r="L98" s="63" t="inlineStr">
        <is>
          <t>Pran Lachcha Semai (Fried Vermichili) 200gm</t>
        </is>
      </c>
      <c r="M98" s="63" t="n"/>
      <c r="N98" s="79" t="n"/>
      <c r="O98" s="79" t="n"/>
      <c r="P98" s="79" t="n"/>
      <c r="Q98" s="79" t="n"/>
      <c r="R98" s="79" t="n"/>
      <c r="S98" s="79" t="n"/>
      <c r="T98" s="79" t="n"/>
      <c r="U98" s="79" t="n"/>
      <c r="V98" s="79" t="n"/>
      <c r="W98" s="79" t="n"/>
      <c r="X98" s="79" t="n"/>
      <c r="Y98" s="79" t="n"/>
      <c r="Z98" s="79" t="n"/>
    </row>
    <row r="99">
      <c r="A99" s="63" t="n"/>
      <c r="B99" s="62" t="n">
        <v>25091610452951</v>
      </c>
      <c r="C99" s="67" t="inlineStr">
        <is>
          <t>Mir Ahsan Abid</t>
        </is>
      </c>
      <c r="D99" s="65" t="n"/>
      <c r="E99" s="62" t="n">
        <v>656132</v>
      </c>
      <c r="F99" s="63" t="inlineStr">
        <is>
          <t xml:space="preserve">Opu Pal </t>
        </is>
      </c>
      <c r="G99" s="60" t="n">
        <v>1309038296</v>
      </c>
      <c r="H99" s="61" t="inlineStr">
        <is>
          <t>Jashore</t>
        </is>
      </c>
      <c r="I99" s="63" t="inlineStr">
        <is>
          <t>FMCG</t>
        </is>
      </c>
      <c r="J99" s="63" t="inlineStr">
        <is>
          <t>Groceries</t>
        </is>
      </c>
      <c r="K99" s="62" t="n">
        <v>18</v>
      </c>
      <c r="L99" s="63" t="inlineStr">
        <is>
          <t>Partex Cleen Toilet Tissue White (2 Ply Regular) - Ultra Soft</t>
        </is>
      </c>
      <c r="M99" s="63" t="inlineStr">
        <is>
          <t xml:space="preserve">Connected </t>
        </is>
      </c>
      <c r="N99" s="79" t="inlineStr">
        <is>
          <t>No</t>
        </is>
      </c>
      <c r="O99" s="79" t="n"/>
      <c r="P99" s="79" t="n"/>
      <c r="Q99" s="79" t="n"/>
      <c r="R99" s="79" t="n"/>
      <c r="S99" s="79" t="n"/>
      <c r="T99" s="79" t="n"/>
      <c r="U99" s="79" t="n"/>
      <c r="V99" s="79" t="n"/>
      <c r="W99" s="79" t="n"/>
      <c r="X99" s="79" t="n"/>
      <c r="Y99" s="79" t="n"/>
      <c r="Z99" s="79" t="n"/>
    </row>
    <row r="100">
      <c r="A100" s="63" t="n"/>
      <c r="B100" s="62" t="n">
        <v>25091610610843</v>
      </c>
      <c r="C100" s="67" t="inlineStr">
        <is>
          <t>Mir Ahsan Abid</t>
        </is>
      </c>
      <c r="D100" s="65" t="n"/>
      <c r="E100" s="62" t="n">
        <v>544370</v>
      </c>
      <c r="F100" s="63" t="inlineStr">
        <is>
          <t xml:space="preserve">Arun Pal </t>
        </is>
      </c>
      <c r="G100" s="60" t="n">
        <v>1309038296</v>
      </c>
      <c r="H100" s="61" t="inlineStr">
        <is>
          <t>Jashore</t>
        </is>
      </c>
      <c r="I100" s="63" t="inlineStr">
        <is>
          <t>FMCG</t>
        </is>
      </c>
      <c r="J100" s="63" t="inlineStr">
        <is>
          <t>Groceries</t>
        </is>
      </c>
      <c r="K100" s="62" t="n">
        <v>18</v>
      </c>
      <c r="L100" s="63" t="inlineStr">
        <is>
          <t>Partex Cleen Toilet Tissue White (2 Ply Regular) - Ultra Soft</t>
        </is>
      </c>
      <c r="M100" s="63" t="inlineStr">
        <is>
          <t>Not Connected</t>
        </is>
      </c>
      <c r="N100" s="79" t="n"/>
      <c r="O100" s="79" t="n"/>
      <c r="P100" s="79" t="n"/>
      <c r="Q100" s="79" t="n"/>
      <c r="R100" s="79" t="n"/>
      <c r="S100" s="79" t="n"/>
      <c r="T100" s="79" t="n"/>
      <c r="U100" s="79" t="n"/>
      <c r="V100" s="79" t="n"/>
      <c r="W100" s="79" t="n"/>
      <c r="X100" s="79" t="n"/>
      <c r="Y100" s="79" t="n"/>
      <c r="Z100" s="79" t="n"/>
    </row>
    <row r="101">
      <c r="A101" s="63" t="n"/>
      <c r="B101" s="62" t="n">
        <v>25091614777218</v>
      </c>
      <c r="C101" s="67" t="inlineStr">
        <is>
          <t>Mir Ahsan Abid</t>
        </is>
      </c>
      <c r="D101" s="63" t="n"/>
      <c r="E101" s="62" t="n">
        <v>656009</v>
      </c>
      <c r="F101" s="63" t="inlineStr">
        <is>
          <t xml:space="preserve">Opu Pal </t>
        </is>
      </c>
      <c r="G101" s="60" t="n">
        <v>1309038296</v>
      </c>
      <c r="H101" s="66" t="inlineStr">
        <is>
          <t>Jashore</t>
        </is>
      </c>
      <c r="I101" s="63" t="inlineStr">
        <is>
          <t>FMCG</t>
        </is>
      </c>
      <c r="J101" s="63" t="inlineStr">
        <is>
          <t>Groceries</t>
        </is>
      </c>
      <c r="K101" s="62" t="n">
        <v>18</v>
      </c>
      <c r="L101" s="63" t="inlineStr">
        <is>
          <t>Partex Cleen Toilet Tissue White (2 Ply Regular) - Ultra Soft</t>
        </is>
      </c>
      <c r="M101" s="63" t="inlineStr">
        <is>
          <t>Not Connected</t>
        </is>
      </c>
      <c r="N101" s="79" t="n"/>
      <c r="O101" s="79" t="n"/>
      <c r="P101" s="79" t="n"/>
      <c r="Q101" s="79" t="n"/>
      <c r="R101" s="79" t="n"/>
      <c r="S101" s="79" t="n"/>
      <c r="T101" s="79" t="n"/>
      <c r="U101" s="79" t="n"/>
      <c r="V101" s="79" t="n"/>
      <c r="W101" s="79" t="n"/>
      <c r="X101" s="79" t="n"/>
      <c r="Y101" s="79" t="n"/>
      <c r="Z101" s="79" t="n"/>
    </row>
    <row r="102">
      <c r="A102" s="63" t="n"/>
      <c r="B102" s="62" t="n">
        <v>25091618211082</v>
      </c>
      <c r="C102" s="67" t="inlineStr">
        <is>
          <t>Mir Ahsan Abid</t>
        </is>
      </c>
      <c r="D102" s="63" t="n"/>
      <c r="E102" s="62" t="n">
        <v>654314</v>
      </c>
      <c r="F102" s="63" t="inlineStr">
        <is>
          <t xml:space="preserve">Opu Pal </t>
        </is>
      </c>
      <c r="G102" s="60" t="n">
        <v>1309038296</v>
      </c>
      <c r="H102" s="61" t="inlineStr">
        <is>
          <t>Jashore</t>
        </is>
      </c>
      <c r="I102" s="63" t="inlineStr">
        <is>
          <t>FMCG</t>
        </is>
      </c>
      <c r="J102" s="63" t="inlineStr">
        <is>
          <t>Groceries</t>
        </is>
      </c>
      <c r="K102" s="62" t="n">
        <v>18</v>
      </c>
      <c r="L102" s="63" t="inlineStr">
        <is>
          <t>Partex Cleen Toilet Tissue White (2 Ply Regular) - Ultra Soft</t>
        </is>
      </c>
      <c r="M102" s="63" t="inlineStr">
        <is>
          <t xml:space="preserve">Connected </t>
        </is>
      </c>
      <c r="N102" s="79" t="inlineStr">
        <is>
          <t>Yes</t>
        </is>
      </c>
      <c r="O102" s="79" t="inlineStr">
        <is>
          <t>On time</t>
        </is>
      </c>
      <c r="P102" s="79" t="n"/>
      <c r="Q102" s="79" t="n"/>
      <c r="R102" s="79" t="inlineStr">
        <is>
          <t>Very polite</t>
        </is>
      </c>
      <c r="S102" s="79" t="inlineStr">
        <is>
          <t>Not Damaged</t>
        </is>
      </c>
      <c r="T102" s="79" t="inlineStr">
        <is>
          <t>Didn't check</t>
        </is>
      </c>
      <c r="U102" s="79" t="n"/>
      <c r="V102" s="79" t="n"/>
      <c r="W102" s="79" t="n">
        <v>10</v>
      </c>
      <c r="X102" s="79" t="n"/>
      <c r="Y102" s="79" t="inlineStr">
        <is>
          <t>Positive</t>
        </is>
      </c>
      <c r="Z102" s="79" t="n"/>
    </row>
    <row r="103">
      <c r="A103" s="63" t="n"/>
      <c r="B103" s="62" t="n">
        <v>25091792921013</v>
      </c>
      <c r="C103" s="58" t="n"/>
      <c r="D103" s="65" t="n"/>
      <c r="E103" s="62" t="n">
        <v>425947</v>
      </c>
      <c r="F103" s="63" t="inlineStr">
        <is>
          <t xml:space="preserve">Mr./Ms. </t>
        </is>
      </c>
      <c r="G103" s="60" t="n">
        <v>1716911326</v>
      </c>
      <c r="H103" s="66" t="inlineStr">
        <is>
          <t>Jhalokathi</t>
        </is>
      </c>
      <c r="I103" s="63" t="inlineStr">
        <is>
          <t>Lifestyle</t>
        </is>
      </c>
      <c r="J103" s="63" t="inlineStr">
        <is>
          <t>Tools, DIY  Outdoor</t>
        </is>
      </c>
      <c r="K103" s="62" t="n">
        <v>99</v>
      </c>
      <c r="L103" s="63" t="inlineStr">
        <is>
          <t>3pcs Mini Garden Shovel Rake Spade Bonsai Tools Set Wooden Handle for Flowers Potted Plant Garden Tools Weeding Tools</t>
        </is>
      </c>
      <c r="M103" s="63" t="n"/>
      <c r="N103" s="79" t="n"/>
      <c r="O103" s="79" t="n"/>
      <c r="P103" s="79" t="n"/>
      <c r="Q103" s="79" t="n"/>
      <c r="R103" s="79" t="n"/>
      <c r="S103" s="79" t="n"/>
      <c r="T103" s="79" t="n"/>
      <c r="U103" s="79" t="n"/>
      <c r="V103" s="79" t="n"/>
      <c r="W103" s="79" t="n"/>
      <c r="X103" s="79" t="n"/>
      <c r="Y103" s="79" t="n"/>
      <c r="Z103" s="79" t="n"/>
    </row>
    <row r="104">
      <c r="A104" s="63" t="n"/>
      <c r="B104" s="62" t="n">
        <v>25092066174333</v>
      </c>
      <c r="C104" s="58" t="n"/>
      <c r="D104" s="65" t="n"/>
      <c r="E104" s="62" t="n">
        <v>705306</v>
      </c>
      <c r="F104" s="63" t="inlineStr">
        <is>
          <t xml:space="preserve">Mr./Ms. </t>
        </is>
      </c>
      <c r="G104" s="60" t="n">
        <v>1842401514</v>
      </c>
      <c r="H104" s="66" t="inlineStr">
        <is>
          <t>Jhalokathi</t>
        </is>
      </c>
      <c r="I104" s="63" t="inlineStr">
        <is>
          <t>FMCG</t>
        </is>
      </c>
      <c r="J104" s="63" t="inlineStr">
        <is>
          <t>Mother  Baby</t>
        </is>
      </c>
      <c r="K104" s="62" t="n">
        <v>1755</v>
      </c>
      <c r="L104" s="63" t="inlineStr">
        <is>
          <t xml:space="preserve">NEOCARE NEWBORN DIAPER (0-4 kg) -20 Pcs </t>
        </is>
      </c>
      <c r="M104" s="63" t="n"/>
      <c r="N104" s="79" t="n"/>
      <c r="O104" s="79" t="n"/>
      <c r="P104" s="79" t="n"/>
      <c r="Q104" s="79" t="n"/>
      <c r="R104" s="79" t="n"/>
      <c r="S104" s="79" t="n"/>
      <c r="T104" s="79" t="n"/>
      <c r="U104" s="79" t="n"/>
      <c r="V104" s="79" t="n"/>
      <c r="W104" s="79" t="n"/>
      <c r="X104" s="79" t="n"/>
      <c r="Y104" s="79" t="n"/>
      <c r="Z104" s="79" t="n"/>
    </row>
    <row r="105">
      <c r="A105" s="63" t="n"/>
      <c r="B105" s="62" t="n">
        <v>25092092941540</v>
      </c>
      <c r="C105" s="58" t="n"/>
      <c r="D105" s="65" t="n"/>
      <c r="E105" s="62" t="n">
        <v>34015</v>
      </c>
      <c r="F105" s="63" t="inlineStr">
        <is>
          <t xml:space="preserve">Md Tamim </t>
        </is>
      </c>
      <c r="G105" s="60" t="n">
        <v>1307189129</v>
      </c>
      <c r="H105" s="66" t="inlineStr">
        <is>
          <t>Jhalokathi</t>
        </is>
      </c>
      <c r="I105" s="63" t="inlineStr">
        <is>
          <t>FMCG</t>
        </is>
      </c>
      <c r="J105" s="63" t="inlineStr">
        <is>
          <t>Health  Beauty</t>
        </is>
      </c>
      <c r="K105" s="62" t="n">
        <v>585</v>
      </c>
      <c r="L105" s="63" t="inlineStr">
        <is>
          <t>Medicine Box (4 Layer) Wooden</t>
        </is>
      </c>
      <c r="M105" s="63" t="n"/>
      <c r="N105" s="79" t="n"/>
      <c r="O105" s="79" t="n"/>
      <c r="P105" s="79" t="n"/>
      <c r="Q105" s="79" t="n"/>
      <c r="R105" s="79" t="n"/>
      <c r="S105" s="79" t="n"/>
      <c r="T105" s="79" t="n"/>
      <c r="U105" s="79" t="n"/>
      <c r="V105" s="79" t="n"/>
      <c r="W105" s="79" t="n"/>
      <c r="X105" s="79" t="n"/>
      <c r="Y105" s="79" t="n"/>
      <c r="Z105" s="79" t="n"/>
    </row>
    <row r="106">
      <c r="A106" s="63" t="n"/>
      <c r="B106" s="62" t="n">
        <v>25092227596462</v>
      </c>
      <c r="C106" s="58" t="n"/>
      <c r="D106" s="65" t="n"/>
      <c r="E106" s="62" t="n">
        <v>524719</v>
      </c>
      <c r="F106" s="63" t="inlineStr">
        <is>
          <t>Tipu Sultan</t>
        </is>
      </c>
      <c r="G106" s="60" t="n">
        <v>1999659777</v>
      </c>
      <c r="H106" s="66" t="inlineStr">
        <is>
          <t>Jhalokathi</t>
        </is>
      </c>
      <c r="I106" s="63" t="inlineStr">
        <is>
          <t>FMCG</t>
        </is>
      </c>
      <c r="J106" s="63" t="inlineStr">
        <is>
          <t>Health  Beauty</t>
        </is>
      </c>
      <c r="K106" s="62" t="n">
        <v>1459</v>
      </c>
      <c r="L106" s="63" t="inlineStr">
        <is>
          <t>Microlife BP AG1-20 Blood Pressure Machine Set with Stethoscope Aneroid Sphygmomanomete</t>
        </is>
      </c>
      <c r="M106" s="63" t="n"/>
      <c r="N106" s="79" t="n"/>
      <c r="O106" s="79" t="n"/>
      <c r="P106" s="79" t="n"/>
      <c r="Q106" s="79" t="n"/>
      <c r="R106" s="79" t="n"/>
      <c r="S106" s="79" t="n"/>
      <c r="T106" s="79" t="n"/>
      <c r="U106" s="79" t="n"/>
      <c r="V106" s="79" t="n"/>
      <c r="W106" s="79" t="n"/>
      <c r="X106" s="79" t="n"/>
      <c r="Y106" s="79" t="n"/>
      <c r="Z106" s="79" t="n"/>
    </row>
    <row r="107">
      <c r="A107" s="63" t="n"/>
      <c r="B107" s="62" t="n">
        <v>25091612085397</v>
      </c>
      <c r="C107" s="67" t="inlineStr">
        <is>
          <t>Mir Ahsan Abid</t>
        </is>
      </c>
      <c r="D107" s="63" t="n"/>
      <c r="E107" s="62" t="n">
        <v>530368</v>
      </c>
      <c r="F107" s="63" t="inlineStr">
        <is>
          <t xml:space="preserve">Mr./Ms. </t>
        </is>
      </c>
      <c r="G107" s="60" t="n">
        <v>1950982700</v>
      </c>
      <c r="H107" s="66" t="inlineStr">
        <is>
          <t>Jhenidah</t>
        </is>
      </c>
      <c r="I107" s="63" t="inlineStr">
        <is>
          <t>Lifestyle</t>
        </is>
      </c>
      <c r="J107" s="63" t="inlineStr">
        <is>
          <t>Tools, DIY  Outdoor</t>
        </is>
      </c>
      <c r="K107" s="62" t="n">
        <v>79</v>
      </c>
      <c r="L107" s="63" t="inlineStr">
        <is>
          <t>PVC Tape 2" Inch BLACK Bangladeshi Electrical PVC Insulating Tape Width 2" Inch 50mm 5M Length PVC Insulation Tape For Insulating Reinforcing Cables Wiring</t>
        </is>
      </c>
      <c r="M107" s="63" t="inlineStr">
        <is>
          <t xml:space="preserve">Connected </t>
        </is>
      </c>
      <c r="N107" s="79" t="inlineStr">
        <is>
          <t>Yes</t>
        </is>
      </c>
      <c r="O107" s="79" t="inlineStr">
        <is>
          <t>On time</t>
        </is>
      </c>
      <c r="P107" s="79" t="n"/>
      <c r="Q107" s="79" t="n"/>
      <c r="R107" s="79" t="inlineStr">
        <is>
          <t>Very polite</t>
        </is>
      </c>
      <c r="S107" s="79" t="inlineStr">
        <is>
          <t>Not Damaged</t>
        </is>
      </c>
      <c r="T107" s="79" t="inlineStr">
        <is>
          <t>Didn't check</t>
        </is>
      </c>
      <c r="U107" s="79" t="n"/>
      <c r="V107" s="79" t="n"/>
      <c r="W107" s="79" t="n">
        <v>9</v>
      </c>
      <c r="X107" s="69" t="n"/>
      <c r="Y107" s="79" t="inlineStr">
        <is>
          <t>Positive</t>
        </is>
      </c>
      <c r="Z107" s="79" t="n"/>
    </row>
    <row r="108">
      <c r="A108" s="63" t="n"/>
      <c r="B108" s="62" t="n">
        <v>25091643873986</v>
      </c>
      <c r="C108" s="58" t="n"/>
      <c r="D108" s="65" t="n"/>
      <c r="E108" s="62" t="n">
        <v>648839</v>
      </c>
      <c r="F108" s="63" t="inlineStr">
        <is>
          <t xml:space="preserve">Mr./Ms. </t>
        </is>
      </c>
      <c r="G108" s="60" t="n">
        <v>1788079257</v>
      </c>
      <c r="H108" s="61" t="inlineStr">
        <is>
          <t>Jhenidah</t>
        </is>
      </c>
      <c r="I108" s="63" t="inlineStr">
        <is>
          <t>FMCG</t>
        </is>
      </c>
      <c r="J108" s="63" t="inlineStr">
        <is>
          <t>Mother  Baby</t>
        </is>
      </c>
      <c r="K108" s="62" t="n">
        <v>360</v>
      </c>
      <c r="L108" s="63" t="inlineStr">
        <is>
          <t>Handmade Jute Baby Chair Swing – Eco-Friendly Hanging Bosar Dolna for Infants | Comfortable &amp; Safe Indoor Baby Hammock</t>
        </is>
      </c>
      <c r="M108" s="63" t="n"/>
      <c r="N108" s="79" t="n"/>
      <c r="O108" s="79" t="n"/>
      <c r="P108" s="79" t="n"/>
      <c r="Q108" s="79" t="n"/>
      <c r="R108" s="79" t="n"/>
      <c r="S108" s="79" t="n"/>
      <c r="T108" s="79" t="n"/>
      <c r="U108" s="79" t="n"/>
      <c r="V108" s="79" t="n"/>
      <c r="W108" s="79" t="n"/>
      <c r="X108" s="79" t="n"/>
      <c r="Y108" s="79" t="n"/>
      <c r="Z108" s="79" t="n"/>
    </row>
    <row r="109">
      <c r="A109" s="63" t="n"/>
      <c r="B109" s="62" t="n">
        <v>25091651716220</v>
      </c>
      <c r="C109" s="58" t="n"/>
      <c r="D109" s="65" t="n"/>
      <c r="E109" s="62" t="n">
        <v>40941</v>
      </c>
      <c r="F109" s="63" t="inlineStr">
        <is>
          <t>Shohel Mahmud Shuvo</t>
        </is>
      </c>
      <c r="G109" s="60" t="n">
        <v>1948085108</v>
      </c>
      <c r="H109" s="66" t="inlineStr">
        <is>
          <t>Jhenidah</t>
        </is>
      </c>
      <c r="I109" s="63" t="inlineStr">
        <is>
          <t>FMCG</t>
        </is>
      </c>
      <c r="J109" s="63" t="inlineStr">
        <is>
          <t>Groceries</t>
        </is>
      </c>
      <c r="K109" s="62" t="n">
        <v>70</v>
      </c>
      <c r="L109" s="63" t="inlineStr">
        <is>
          <t>NESCAFE 3-in-1 (14gm) Sachet (5 PCs Bundle)</t>
        </is>
      </c>
      <c r="M109" s="63" t="n"/>
      <c r="N109" s="79" t="n"/>
      <c r="O109" s="79" t="n"/>
      <c r="P109" s="79" t="n"/>
      <c r="Q109" s="79" t="n"/>
      <c r="R109" s="79" t="n"/>
      <c r="S109" s="79" t="n"/>
      <c r="T109" s="79" t="n"/>
      <c r="U109" s="79" t="n"/>
      <c r="V109" s="79" t="n"/>
      <c r="W109" s="79" t="n"/>
      <c r="X109" s="79" t="n"/>
      <c r="Y109" s="79" t="n"/>
      <c r="Z109" s="79" t="n"/>
    </row>
    <row r="110">
      <c r="A110" s="63" t="n"/>
      <c r="B110" s="62" t="n">
        <v>25091652212764</v>
      </c>
      <c r="C110" s="58" t="n"/>
      <c r="D110" s="65" t="n"/>
      <c r="E110" s="62" t="n">
        <v>693226</v>
      </c>
      <c r="F110" s="63" t="inlineStr">
        <is>
          <t xml:space="preserve">এলাকার খারাপ ছেলে </t>
        </is>
      </c>
      <c r="G110" s="60" t="n">
        <v>1961016222</v>
      </c>
      <c r="H110" s="66" t="inlineStr">
        <is>
          <t>Jhenidah</t>
        </is>
      </c>
      <c r="I110" s="63" t="inlineStr">
        <is>
          <t>FMCG</t>
        </is>
      </c>
      <c r="J110" s="63" t="inlineStr">
        <is>
          <t>Groceries</t>
        </is>
      </c>
      <c r="K110" s="62" t="n">
        <v>3297</v>
      </c>
      <c r="L110" s="63" t="inlineStr">
        <is>
          <t>Lite 40w Kit Electronic Cigarette 40W Vape Mod 2200mAh Battery 3ml Vaporizer Liquid Smoke Pod System E Cig</t>
        </is>
      </c>
      <c r="M110" s="63" t="n"/>
      <c r="N110" s="79" t="n"/>
      <c r="O110" s="79" t="n"/>
      <c r="P110" s="79" t="n"/>
      <c r="Q110" s="79" t="n"/>
      <c r="R110" s="79" t="n"/>
      <c r="S110" s="79" t="n"/>
      <c r="T110" s="79" t="n"/>
      <c r="U110" s="79" t="n"/>
      <c r="V110" s="79" t="n"/>
      <c r="W110" s="79" t="n"/>
      <c r="X110" s="79" t="n"/>
      <c r="Y110" s="79" t="n"/>
      <c r="Z110" s="79" t="n"/>
    </row>
    <row r="111">
      <c r="A111" s="63" t="n"/>
      <c r="B111" s="62" t="n">
        <v>25091687252239</v>
      </c>
      <c r="C111" s="58" t="n"/>
      <c r="D111" s="65" t="n"/>
      <c r="E111" s="62" t="n">
        <v>36139</v>
      </c>
      <c r="F111" s="63" t="inlineStr">
        <is>
          <t>md nazmul</t>
        </is>
      </c>
      <c r="G111" s="60" t="n">
        <v>1755985009</v>
      </c>
      <c r="H111" s="61" t="inlineStr">
        <is>
          <t>Joypurhat</t>
        </is>
      </c>
      <c r="I111" s="63" t="inlineStr">
        <is>
          <t>FMCG</t>
        </is>
      </c>
      <c r="J111" s="63" t="inlineStr">
        <is>
          <t>Groceries</t>
        </is>
      </c>
      <c r="K111" s="62" t="n">
        <v>335</v>
      </c>
      <c r="L111" s="63" t="inlineStr">
        <is>
          <t>Partex Cleen Hand Towel Tissue (200 Pcs x 2 Ply) - White Poly</t>
        </is>
      </c>
      <c r="M111" s="63" t="n"/>
      <c r="N111" s="79" t="n"/>
      <c r="O111" s="79" t="n"/>
      <c r="P111" s="79" t="n"/>
      <c r="Q111" s="79" t="n"/>
      <c r="R111" s="79" t="n"/>
      <c r="S111" s="79" t="n"/>
      <c r="T111" s="79" t="n"/>
      <c r="U111" s="79" t="n"/>
      <c r="V111" s="79" t="n"/>
      <c r="W111" s="79" t="n"/>
      <c r="X111" s="79" t="n"/>
      <c r="Y111" s="79" t="n"/>
      <c r="Z111" s="79" t="n"/>
    </row>
    <row r="112">
      <c r="A112" s="63" t="n"/>
      <c r="B112" s="62" t="n">
        <v>25091720176988</v>
      </c>
      <c r="C112" s="58" t="n"/>
      <c r="D112" s="65" t="n"/>
      <c r="E112" s="62" t="n">
        <v>690566</v>
      </c>
      <c r="F112" s="63" t="inlineStr">
        <is>
          <t xml:space="preserve">Mr./Ms. </t>
        </is>
      </c>
      <c r="G112" s="60" t="n">
        <v>1790881172</v>
      </c>
      <c r="H112" s="61" t="inlineStr">
        <is>
          <t>Joypurhat</t>
        </is>
      </c>
      <c r="I112" s="63" t="inlineStr">
        <is>
          <t>Lifestyle</t>
        </is>
      </c>
      <c r="J112" s="63" t="inlineStr">
        <is>
          <t>Tools, DIY  Outdoor</t>
        </is>
      </c>
      <c r="K112" s="62" t="n">
        <v>3400</v>
      </c>
      <c r="L112" s="63" t="inlineStr">
        <is>
          <t>1 Pcs LED Emergency Exit Sign Light with Directional Indicators and Battery Backup</t>
        </is>
      </c>
      <c r="M112" s="63" t="n"/>
      <c r="N112" s="79" t="n"/>
      <c r="O112" s="79" t="n"/>
      <c r="P112" s="79" t="n"/>
      <c r="Q112" s="79" t="n"/>
      <c r="R112" s="79" t="n"/>
      <c r="S112" s="79" t="n"/>
      <c r="T112" s="79" t="n"/>
      <c r="U112" s="79" t="n"/>
      <c r="V112" s="79" t="n"/>
      <c r="W112" s="79" t="n"/>
      <c r="X112" s="79" t="n"/>
      <c r="Y112" s="79" t="n"/>
      <c r="Z112" s="79" t="n"/>
    </row>
    <row r="113">
      <c r="A113" s="63" t="n"/>
      <c r="B113" s="62" t="n">
        <v>25091747970627</v>
      </c>
      <c r="C113" s="58" t="n"/>
      <c r="D113" s="65" t="n"/>
      <c r="E113" s="62" t="n">
        <v>693750</v>
      </c>
      <c r="F113" s="63" t="inlineStr">
        <is>
          <t xml:space="preserve">Mr./Ms. </t>
        </is>
      </c>
      <c r="G113" s="60" t="n">
        <v>1605047093</v>
      </c>
      <c r="H113" s="61" t="inlineStr">
        <is>
          <t>Joypurhat</t>
        </is>
      </c>
      <c r="I113" s="63" t="inlineStr">
        <is>
          <t>Electronics</t>
        </is>
      </c>
      <c r="J113" s="63" t="inlineStr">
        <is>
          <t>Mobiles  Tablets</t>
        </is>
      </c>
      <c r="K113" s="62" t="n">
        <v>160</v>
      </c>
      <c r="L113" s="63" t="inlineStr">
        <is>
          <t>অ্যান্ড্রয়েড ফোন স্ক্রিন ম্যাগনিফায়ারের জন্য 3 ডি গ্লাস ম্যাগনিফায়ার মোবাইল আনুষাঙ্গিক মোবাইল ফোন স্ক্রিন অ্যাম্প্লিফায়ার ভাঁজ করা 3D গ্লাস (292450767) - 292450767</t>
        </is>
      </c>
      <c r="M113" s="63" t="n"/>
      <c r="N113" s="79" t="n"/>
      <c r="O113" s="79" t="n"/>
      <c r="P113" s="79" t="n"/>
      <c r="Q113" s="79" t="n"/>
      <c r="R113" s="79" t="n"/>
      <c r="S113" s="79" t="n"/>
      <c r="T113" s="79" t="n"/>
      <c r="U113" s="79" t="n"/>
      <c r="V113" s="79" t="n"/>
      <c r="W113" s="79" t="n"/>
      <c r="X113" s="79" t="n"/>
      <c r="Y113" s="79" t="n"/>
      <c r="Z113" s="79" t="n"/>
    </row>
    <row r="114">
      <c r="A114" s="63" t="n"/>
      <c r="B114" s="62" t="n">
        <v>25091763399176</v>
      </c>
      <c r="C114" s="58" t="n"/>
      <c r="D114" s="65" t="n"/>
      <c r="E114" s="62" t="n">
        <v>649255</v>
      </c>
      <c r="F114" s="63" t="inlineStr">
        <is>
          <t xml:space="preserve">Sumon Hossain </t>
        </is>
      </c>
      <c r="G114" s="60" t="n">
        <v>1968858824</v>
      </c>
      <c r="H114" s="61" t="inlineStr">
        <is>
          <t>Joypurhat</t>
        </is>
      </c>
      <c r="I114" s="63" t="inlineStr">
        <is>
          <t>Lifestyle</t>
        </is>
      </c>
      <c r="J114" s="63" t="inlineStr">
        <is>
          <t>Tools, DIY  Outdoor</t>
        </is>
      </c>
      <c r="K114" s="62" t="n">
        <v>145</v>
      </c>
      <c r="L114" s="63" t="inlineStr">
        <is>
          <t>3S BMS Circuit 12V 25A Balance Protection Circuit Battery Management System</t>
        </is>
      </c>
      <c r="M114" s="63" t="n"/>
      <c r="N114" s="79" t="n"/>
      <c r="O114" s="79" t="n"/>
      <c r="P114" s="79" t="n"/>
      <c r="Q114" s="79" t="n"/>
      <c r="R114" s="79" t="n"/>
      <c r="S114" s="79" t="n"/>
      <c r="T114" s="79" t="n"/>
      <c r="U114" s="79" t="n"/>
      <c r="V114" s="79" t="n"/>
      <c r="W114" s="79" t="n"/>
      <c r="X114" s="79" t="n"/>
      <c r="Y114" s="79" t="n"/>
      <c r="Z114" s="79" t="n"/>
    </row>
    <row r="115">
      <c r="A115" s="63" t="n"/>
      <c r="B115" s="62" t="n">
        <v>25091622360362</v>
      </c>
      <c r="C115" s="67" t="inlineStr">
        <is>
          <t>Mir Ahsan Abid</t>
        </is>
      </c>
      <c r="D115" s="63" t="n"/>
      <c r="E115" s="62" t="n">
        <v>626585</v>
      </c>
      <c r="F115" s="63" t="inlineStr">
        <is>
          <t xml:space="preserve">Tahmid Shahriar </t>
        </is>
      </c>
      <c r="G115" s="60" t="n">
        <v>1912297144</v>
      </c>
      <c r="H115" s="61" t="inlineStr">
        <is>
          <t>Keraniganj</t>
        </is>
      </c>
      <c r="I115" s="63" t="inlineStr">
        <is>
          <t>Lifestyle</t>
        </is>
      </c>
      <c r="J115" s="63" t="inlineStr">
        <is>
          <t>Sports  Outdoors</t>
        </is>
      </c>
      <c r="K115" s="62" t="n">
        <v>64</v>
      </c>
      <c r="L115" s="63" t="inlineStr">
        <is>
          <t>Short Semis Sports Bra for Teenager</t>
        </is>
      </c>
      <c r="M115" s="63" t="inlineStr">
        <is>
          <t>Not Connected</t>
        </is>
      </c>
      <c r="N115" s="79" t="n"/>
      <c r="O115" s="79" t="n"/>
      <c r="P115" s="79" t="n"/>
      <c r="Q115" s="79" t="n"/>
      <c r="R115" s="79" t="n"/>
      <c r="S115" s="79" t="n"/>
      <c r="T115" s="79" t="n"/>
      <c r="U115" s="79" t="n"/>
      <c r="V115" s="79" t="n"/>
      <c r="W115" s="79" t="n"/>
      <c r="X115" s="79" t="n"/>
      <c r="Y115" s="79" t="n"/>
      <c r="Z115" s="79" t="n"/>
    </row>
    <row r="116">
      <c r="A116" s="63" t="n"/>
      <c r="B116" s="62" t="n">
        <v>25091791775810</v>
      </c>
      <c r="C116" s="58" t="n"/>
      <c r="D116" s="65" t="n"/>
      <c r="E116" s="62" t="n">
        <v>49963</v>
      </c>
      <c r="F116" s="63" t="inlineStr">
        <is>
          <t xml:space="preserve">Ar_imran _hossain </t>
        </is>
      </c>
      <c r="G116" s="60" t="n">
        <v>1672776474</v>
      </c>
      <c r="H116" s="61" t="inlineStr">
        <is>
          <t>Keraniganj</t>
        </is>
      </c>
      <c r="I116" s="63" t="inlineStr">
        <is>
          <t>FMCG</t>
        </is>
      </c>
      <c r="J116" s="63" t="inlineStr">
        <is>
          <t>Health  Beauty</t>
        </is>
      </c>
      <c r="K116" s="62" t="n">
        <v>54</v>
      </c>
      <c r="L116" s="63" t="inlineStr">
        <is>
          <t>Godrej Magic Handwash Neem Aloe Vera Refill Pack 9g</t>
        </is>
      </c>
      <c r="M116" s="63" t="n"/>
      <c r="N116" s="79" t="n"/>
      <c r="O116" s="79" t="n"/>
      <c r="P116" s="79" t="n"/>
      <c r="Q116" s="79" t="n"/>
      <c r="R116" s="79" t="n"/>
      <c r="S116" s="79" t="n"/>
      <c r="T116" s="79" t="n"/>
      <c r="U116" s="79" t="n"/>
      <c r="V116" s="79" t="n"/>
      <c r="W116" s="79" t="n"/>
      <c r="X116" s="79" t="n"/>
      <c r="Y116" s="79" t="n"/>
      <c r="Z116" s="79" t="n"/>
    </row>
    <row r="117">
      <c r="A117" s="63" t="n"/>
      <c r="B117" s="62" t="n">
        <v>25091792651451</v>
      </c>
      <c r="C117" s="58" t="n"/>
      <c r="D117" s="65" t="n"/>
      <c r="E117" s="62" t="n">
        <v>113067</v>
      </c>
      <c r="F117" s="63" t="inlineStr">
        <is>
          <t>Tapos K. Bala</t>
        </is>
      </c>
      <c r="G117" s="60" t="n">
        <v>1797596120</v>
      </c>
      <c r="H117" s="66" t="inlineStr">
        <is>
          <t>Keraniganj</t>
        </is>
      </c>
      <c r="I117" s="63" t="inlineStr">
        <is>
          <t>Fashion</t>
        </is>
      </c>
      <c r="J117" s="63" t="inlineStr">
        <is>
          <t>Watches Sunglasses Jewellery</t>
        </is>
      </c>
      <c r="K117" s="62" t="n">
        <v>282</v>
      </c>
      <c r="L117" s="63" t="inlineStr">
        <is>
          <t>High Quality Very Stylish Sunglasses Men - Sun Glass For Men</t>
        </is>
      </c>
      <c r="M117" s="63" t="n"/>
      <c r="N117" s="79" t="n"/>
      <c r="O117" s="79" t="n"/>
      <c r="P117" s="79" t="n"/>
      <c r="Q117" s="79" t="n"/>
      <c r="R117" s="79" t="n"/>
      <c r="S117" s="79" t="n"/>
      <c r="T117" s="79" t="n"/>
      <c r="U117" s="79" t="n"/>
      <c r="V117" s="79" t="n"/>
      <c r="W117" s="79" t="n"/>
      <c r="X117" s="79" t="n"/>
      <c r="Y117" s="79" t="n"/>
      <c r="Z117" s="79" t="n"/>
    </row>
    <row r="118">
      <c r="A118" s="63" t="n"/>
      <c r="B118" s="62" t="n">
        <v>25091831017213</v>
      </c>
      <c r="C118" s="58" t="n"/>
      <c r="D118" s="65" t="n"/>
      <c r="E118" s="62" t="n">
        <v>700819</v>
      </c>
      <c r="F118" s="63" t="inlineStr">
        <is>
          <t xml:space="preserve">Mr./Ms. </t>
        </is>
      </c>
      <c r="G118" s="60" t="n">
        <v>1722773999</v>
      </c>
      <c r="H118" s="61" t="inlineStr">
        <is>
          <t>Keraniganj</t>
        </is>
      </c>
      <c r="I118" s="63" t="inlineStr">
        <is>
          <t>FMCG</t>
        </is>
      </c>
      <c r="J118" s="63" t="inlineStr">
        <is>
          <t>Groceries</t>
        </is>
      </c>
      <c r="K118" s="62" t="n">
        <v>1875</v>
      </c>
      <c r="L118" s="63" t="inlineStr">
        <is>
          <t>Harvey Fresh UHT Full Cream Milk - 1 Litre</t>
        </is>
      </c>
      <c r="M118" s="63" t="n"/>
      <c r="N118" s="79" t="n"/>
      <c r="O118" s="79" t="n"/>
      <c r="P118" s="79" t="n"/>
      <c r="Q118" s="79" t="n"/>
      <c r="R118" s="79" t="n"/>
      <c r="S118" s="79" t="n"/>
      <c r="T118" s="79" t="n"/>
      <c r="U118" s="79" t="n"/>
      <c r="V118" s="79" t="n"/>
      <c r="W118" s="79" t="n"/>
      <c r="X118" s="79" t="n"/>
      <c r="Y118" s="79" t="n"/>
      <c r="Z118" s="79" t="n"/>
    </row>
    <row r="119">
      <c r="A119" s="63" t="n"/>
      <c r="B119" s="62" t="n">
        <v>25091622641411</v>
      </c>
      <c r="C119" s="67" t="inlineStr">
        <is>
          <t>Mir Ahsan Abid</t>
        </is>
      </c>
      <c r="D119" s="63" t="n"/>
      <c r="E119" s="62" t="n">
        <v>690808</v>
      </c>
      <c r="F119" s="63" t="inlineStr">
        <is>
          <t xml:space="preserve">MD KHOKON </t>
        </is>
      </c>
      <c r="G119" s="60" t="n">
        <v>1575060060</v>
      </c>
      <c r="H119" s="66" t="inlineStr">
        <is>
          <t>Khagrachari</t>
        </is>
      </c>
      <c r="I119" s="63" t="inlineStr">
        <is>
          <t>Lifestyle</t>
        </is>
      </c>
      <c r="J119" s="63" t="inlineStr">
        <is>
          <t>Tools, DIY  Outdoor</t>
        </is>
      </c>
      <c r="K119" s="62" t="n">
        <v>144</v>
      </c>
      <c r="L119" s="63" t="inlineStr">
        <is>
          <t>0.28" Led Dc 0-100V Red, Yellow, Green Voltmeter Digital Display Voltage Volt Meter 12V 24V</t>
        </is>
      </c>
      <c r="M119" s="63" t="inlineStr">
        <is>
          <t xml:space="preserve">Connected </t>
        </is>
      </c>
      <c r="N119" s="79" t="inlineStr">
        <is>
          <t>No</t>
        </is>
      </c>
      <c r="O119" s="79" t="n"/>
      <c r="P119" s="79" t="n"/>
      <c r="Q119" s="79" t="n"/>
      <c r="R119" s="79" t="n"/>
      <c r="S119" s="79" t="n"/>
      <c r="T119" s="79" t="n"/>
      <c r="U119" s="79" t="n"/>
      <c r="V119" s="79" t="n"/>
      <c r="W119" s="79" t="n"/>
      <c r="X119" s="79" t="n"/>
      <c r="Y119" s="79" t="n"/>
      <c r="Z119" s="79" t="n"/>
    </row>
    <row r="120">
      <c r="A120" s="63" t="n"/>
      <c r="B120" s="62" t="n">
        <v>25091643519729</v>
      </c>
      <c r="C120" s="58" t="n"/>
      <c r="D120" s="65" t="n"/>
      <c r="E120" s="62" t="n">
        <v>642693</v>
      </c>
      <c r="F120" s="63" t="inlineStr">
        <is>
          <t xml:space="preserve">shahahahajankhan khan </t>
        </is>
      </c>
      <c r="G120" s="60" t="n">
        <v>1823858912</v>
      </c>
      <c r="H120" s="61" t="inlineStr">
        <is>
          <t>Khagrachari</t>
        </is>
      </c>
      <c r="I120" s="63" t="inlineStr">
        <is>
          <t>Electronics</t>
        </is>
      </c>
      <c r="J120" s="63" t="inlineStr">
        <is>
          <t>TV, Audio / Video, Gaming  Wearables</t>
        </is>
      </c>
      <c r="K120" s="62" t="n">
        <v>145</v>
      </c>
      <c r="L120" s="63" t="inlineStr">
        <is>
          <t>CH-LED43 Remote Controller CH-LED43 TV Remote Control TV Remote For Smart LED TV Remote</t>
        </is>
      </c>
      <c r="M120" s="63" t="n"/>
      <c r="N120" s="79" t="n"/>
      <c r="O120" s="79" t="n"/>
      <c r="P120" s="79" t="n"/>
      <c r="Q120" s="79" t="n"/>
      <c r="R120" s="79" t="n"/>
      <c r="S120" s="79" t="n"/>
      <c r="T120" s="79" t="n"/>
      <c r="U120" s="79" t="n"/>
      <c r="V120" s="79" t="n"/>
      <c r="W120" s="79" t="n"/>
      <c r="X120" s="79" t="n"/>
      <c r="Y120" s="79" t="n"/>
      <c r="Z120" s="79" t="n"/>
    </row>
    <row r="121">
      <c r="A121" s="63" t="n"/>
      <c r="B121" s="62" t="n">
        <v>25091647919581</v>
      </c>
      <c r="C121" s="58" t="n"/>
      <c r="D121" s="65" t="n"/>
      <c r="E121" s="62" t="n">
        <v>566065</v>
      </c>
      <c r="F121" s="63" t="inlineStr">
        <is>
          <t>sonchay chakma</t>
        </is>
      </c>
      <c r="G121" s="60" t="n">
        <v>1648329457</v>
      </c>
      <c r="H121" s="66" t="inlineStr">
        <is>
          <t>Khagrachari</t>
        </is>
      </c>
      <c r="I121" s="63" t="inlineStr">
        <is>
          <t>Electronics</t>
        </is>
      </c>
      <c r="J121" s="63" t="inlineStr">
        <is>
          <t>Mobiles  Tablets</t>
        </is>
      </c>
      <c r="K121" s="62" t="n">
        <v>206</v>
      </c>
      <c r="L121" s="63" t="inlineStr">
        <is>
          <t>For Xiaomi Redmi Note 13 Pro plus Back Case Camera Protection Premium Silicone Case Soft Protective Mobile Phone Back Cover</t>
        </is>
      </c>
      <c r="M121" s="63" t="n"/>
      <c r="N121" s="79" t="n"/>
      <c r="O121" s="79" t="n"/>
      <c r="P121" s="79" t="n"/>
      <c r="Q121" s="79" t="n"/>
      <c r="R121" s="79" t="n"/>
      <c r="S121" s="79" t="n"/>
      <c r="T121" s="79" t="n"/>
      <c r="U121" s="79" t="n"/>
      <c r="V121" s="79" t="n"/>
      <c r="W121" s="79" t="n"/>
      <c r="X121" s="79" t="n"/>
      <c r="Y121" s="79" t="n"/>
      <c r="Z121" s="79" t="n"/>
    </row>
    <row r="122">
      <c r="A122" s="63" t="n"/>
      <c r="B122" s="62" t="n">
        <v>25091660925025</v>
      </c>
      <c r="C122" s="58" t="n"/>
      <c r="D122" s="65" t="n"/>
      <c r="E122" s="62" t="n">
        <v>690808</v>
      </c>
      <c r="F122" s="63" t="inlineStr">
        <is>
          <t xml:space="preserve">MD KHOKON </t>
        </is>
      </c>
      <c r="G122" s="60" t="n">
        <v>1575060060</v>
      </c>
      <c r="H122" s="66" t="inlineStr">
        <is>
          <t>Khagrachari</t>
        </is>
      </c>
      <c r="I122" s="63" t="inlineStr">
        <is>
          <t>Lifestyle</t>
        </is>
      </c>
      <c r="J122" s="63" t="inlineStr">
        <is>
          <t>Tools, DIY  Outdoor</t>
        </is>
      </c>
      <c r="K122" s="62" t="n">
        <v>252</v>
      </c>
      <c r="L122" s="63" t="inlineStr">
        <is>
          <t>Digital Voltmeter Ammeter DC 100V 10A Voltmeter Current Meter Tester 0.28 inch Blue+Red Dual LED Display</t>
        </is>
      </c>
      <c r="M122" s="63" t="n"/>
      <c r="N122" s="79" t="n"/>
      <c r="O122" s="79" t="n"/>
      <c r="P122" s="79" t="n"/>
      <c r="Q122" s="79" t="n"/>
      <c r="R122" s="79" t="n"/>
      <c r="S122" s="79" t="n"/>
      <c r="T122" s="79" t="n"/>
      <c r="U122" s="79" t="n"/>
      <c r="V122" s="79" t="n"/>
      <c r="W122" s="79" t="n"/>
      <c r="X122" s="79" t="n"/>
      <c r="Y122" s="79" t="n"/>
      <c r="Z122" s="79" t="n"/>
    </row>
    <row r="123">
      <c r="A123" s="63" t="n"/>
      <c r="B123" s="62" t="n">
        <v>25091617196448</v>
      </c>
      <c r="C123" s="67" t="inlineStr">
        <is>
          <t>Mir Ahsan Abid</t>
        </is>
      </c>
      <c r="D123" s="63" t="n"/>
      <c r="E123" s="62" t="n">
        <v>56723</v>
      </c>
      <c r="F123" s="63" t="inlineStr">
        <is>
          <t>IBRAHIM KHALED</t>
        </is>
      </c>
      <c r="G123" s="60" t="n">
        <v>1718147192</v>
      </c>
      <c r="H123" s="61" t="inlineStr">
        <is>
          <t>Khulna</t>
        </is>
      </c>
      <c r="I123" s="63" t="inlineStr">
        <is>
          <t>FMCG</t>
        </is>
      </c>
      <c r="J123" s="63" t="inlineStr">
        <is>
          <t>Health  Beauty</t>
        </is>
      </c>
      <c r="K123" s="62" t="n">
        <v>553</v>
      </c>
      <c r="L123" s="63" t="inlineStr">
        <is>
          <t>Tresemme Shampoo Bond Plex Sleek 580ml</t>
        </is>
      </c>
      <c r="M123" s="63" t="inlineStr">
        <is>
          <t xml:space="preserve">Connected </t>
        </is>
      </c>
      <c r="N123" s="79" t="inlineStr">
        <is>
          <t>Yes</t>
        </is>
      </c>
      <c r="O123" s="79" t="inlineStr">
        <is>
          <t>Earlier than expected</t>
        </is>
      </c>
      <c r="P123" s="79" t="n"/>
      <c r="Q123" s="79" t="n"/>
      <c r="R123" s="79" t="inlineStr">
        <is>
          <t>Very polite</t>
        </is>
      </c>
      <c r="S123" s="79" t="inlineStr">
        <is>
          <t>Not Damaged</t>
        </is>
      </c>
      <c r="T123" s="79" t="inlineStr">
        <is>
          <t>Yes</t>
        </is>
      </c>
      <c r="U123" s="79" t="n"/>
      <c r="V123" s="79" t="n"/>
      <c r="W123" s="79" t="n">
        <v>10</v>
      </c>
      <c r="X123" s="79" t="n"/>
      <c r="Y123" s="79" t="inlineStr">
        <is>
          <t>Positive</t>
        </is>
      </c>
      <c r="Z123" s="79" t="n"/>
    </row>
    <row r="124">
      <c r="A124" s="63" t="n"/>
      <c r="B124" s="62" t="n">
        <v>25091620634783</v>
      </c>
      <c r="C124" s="67" t="inlineStr">
        <is>
          <t>Mir Ahsan Abid</t>
        </is>
      </c>
      <c r="D124" s="63" t="n"/>
      <c r="E124" s="62" t="n">
        <v>692132</v>
      </c>
      <c r="F124" s="63" t="inlineStr">
        <is>
          <t xml:space="preserve">AMINUR RAHMAN SAGOR </t>
        </is>
      </c>
      <c r="G124" s="60" t="n">
        <v>1876128894</v>
      </c>
      <c r="H124" s="61" t="inlineStr">
        <is>
          <t>Khulna</t>
        </is>
      </c>
      <c r="I124" s="63" t="inlineStr">
        <is>
          <t>Electronics</t>
        </is>
      </c>
      <c r="J124" s="63" t="inlineStr">
        <is>
          <t>TV, Audio / Video, Gaming  Wearables</t>
        </is>
      </c>
      <c r="K124" s="62" t="n">
        <v>250</v>
      </c>
      <c r="L124" s="63" t="inlineStr">
        <is>
          <t>K8 Best Quality Wireless Microphone Bluetooth System Mic For Smartphone Type-C</t>
        </is>
      </c>
      <c r="M124" s="63" t="inlineStr">
        <is>
          <t xml:space="preserve">Connected </t>
        </is>
      </c>
      <c r="N124" s="79" t="inlineStr">
        <is>
          <t>Yes</t>
        </is>
      </c>
      <c r="O124" s="79" t="inlineStr">
        <is>
          <t>On time</t>
        </is>
      </c>
      <c r="P124" s="79" t="n"/>
      <c r="Q124" s="79" t="n"/>
      <c r="R124" s="79" t="inlineStr">
        <is>
          <t>Neutral</t>
        </is>
      </c>
      <c r="S124" s="79" t="inlineStr">
        <is>
          <t>Not Damaged</t>
        </is>
      </c>
      <c r="T124" s="79" t="inlineStr">
        <is>
          <t>Yes</t>
        </is>
      </c>
      <c r="U124" s="79" t="n"/>
      <c r="V124" s="79" t="n"/>
      <c r="W124" s="79" t="n">
        <v>7</v>
      </c>
      <c r="X124" s="79" t="n"/>
      <c r="Y124" s="79" t="inlineStr">
        <is>
          <t>Positive</t>
        </is>
      </c>
      <c r="Z124" s="79" t="n"/>
    </row>
    <row r="125">
      <c r="A125" s="63" t="n"/>
      <c r="B125" s="62" t="n">
        <v>25091621475242</v>
      </c>
      <c r="C125" s="67" t="inlineStr">
        <is>
          <t>Mir Ahsan Abid</t>
        </is>
      </c>
      <c r="D125" s="63" t="n"/>
      <c r="E125" s="62" t="n">
        <v>691981</v>
      </c>
      <c r="F125" s="63" t="inlineStr">
        <is>
          <t xml:space="preserve">Mr./Ms. </t>
        </is>
      </c>
      <c r="G125" s="60" t="n">
        <v>1650090408</v>
      </c>
      <c r="H125" s="66" t="inlineStr">
        <is>
          <t>Khulna</t>
        </is>
      </c>
      <c r="I125" s="63" t="inlineStr">
        <is>
          <t>Lifestyle</t>
        </is>
      </c>
      <c r="J125" s="63" t="inlineStr">
        <is>
          <t>Tools, DIY  Outdoor</t>
        </is>
      </c>
      <c r="K125" s="62" t="n">
        <v>60</v>
      </c>
      <c r="L125" s="63" t="inlineStr">
        <is>
          <t>2Pcs- 3 Pin 5K Potentiometer Panel Mount 5K Ohm 1/2 Watt 3 Terminal Leads Single Gang Linear Taper Rotary Potentiometer 5K Ohm Adjustable Variable Resistor Volume Pot</t>
        </is>
      </c>
      <c r="M125" s="63" t="inlineStr">
        <is>
          <t xml:space="preserve">Connected </t>
        </is>
      </c>
      <c r="N125" s="79" t="inlineStr">
        <is>
          <t>Yes</t>
        </is>
      </c>
      <c r="O125" s="79" t="inlineStr">
        <is>
          <t>On time</t>
        </is>
      </c>
      <c r="P125" s="79" t="n"/>
      <c r="Q125" s="79" t="n"/>
      <c r="R125" s="79" t="inlineStr">
        <is>
          <t>Very polite</t>
        </is>
      </c>
      <c r="S125" s="79" t="inlineStr">
        <is>
          <t>Not Damaged</t>
        </is>
      </c>
      <c r="T125" s="79" t="inlineStr">
        <is>
          <t>Yes</t>
        </is>
      </c>
      <c r="U125" s="79" t="n"/>
      <c r="V125" s="79" t="n"/>
      <c r="W125" s="79" t="n">
        <v>8</v>
      </c>
      <c r="X125" s="79" t="n"/>
      <c r="Y125" s="79" t="inlineStr">
        <is>
          <t>Positive</t>
        </is>
      </c>
      <c r="Z125" s="79" t="n"/>
    </row>
    <row r="126">
      <c r="A126" s="63" t="n"/>
      <c r="B126" s="62" t="n">
        <v>25091628367709</v>
      </c>
      <c r="C126" s="58" t="n"/>
      <c r="D126" s="63" t="n"/>
      <c r="E126" s="62" t="n">
        <v>69272</v>
      </c>
      <c r="F126" s="63" t="inlineStr">
        <is>
          <t>Sumayia sema</t>
        </is>
      </c>
      <c r="G126" s="60" t="n">
        <v>1922002330</v>
      </c>
      <c r="H126" s="61" t="inlineStr">
        <is>
          <t>Khulna</t>
        </is>
      </c>
      <c r="I126" s="63" t="inlineStr">
        <is>
          <t>FMCG</t>
        </is>
      </c>
      <c r="J126" s="63" t="inlineStr">
        <is>
          <t>Health  Beauty</t>
        </is>
      </c>
      <c r="K126" s="62" t="n">
        <v>35</v>
      </c>
      <c r="L126" s="63" t="inlineStr">
        <is>
          <t>Freedom Popular 8 Pads</t>
        </is>
      </c>
      <c r="M126" s="63" t="inlineStr">
        <is>
          <t xml:space="preserve">Connected </t>
        </is>
      </c>
      <c r="N126" s="79" t="inlineStr">
        <is>
          <t>Yes</t>
        </is>
      </c>
      <c r="O126" s="79" t="inlineStr">
        <is>
          <t>On time</t>
        </is>
      </c>
      <c r="P126" s="79" t="n"/>
      <c r="Q126" s="79" t="n"/>
      <c r="R126" s="79" t="inlineStr">
        <is>
          <t>Very polite</t>
        </is>
      </c>
      <c r="S126" s="79" t="inlineStr">
        <is>
          <t>Not Damaged</t>
        </is>
      </c>
      <c r="T126" s="79" t="inlineStr">
        <is>
          <t>Yes</t>
        </is>
      </c>
      <c r="U126" s="79" t="n"/>
      <c r="V126" s="79" t="n"/>
      <c r="W126" s="79" t="n">
        <v>8</v>
      </c>
      <c r="X126" s="79" t="inlineStr">
        <is>
          <t>Everything Ok sometime app logs out customer.</t>
        </is>
      </c>
      <c r="Y126" s="79" t="inlineStr">
        <is>
          <t>Positive</t>
        </is>
      </c>
      <c r="Z126" s="79" t="n"/>
    </row>
    <row r="127">
      <c r="A127" s="63" t="n"/>
      <c r="B127" s="62" t="n">
        <v>25091620333572</v>
      </c>
      <c r="C127" s="67" t="inlineStr">
        <is>
          <t>Mir Ahsan Abid</t>
        </is>
      </c>
      <c r="D127" s="63" t="n"/>
      <c r="E127" s="62" t="n">
        <v>104732</v>
      </c>
      <c r="F127" s="63" t="inlineStr">
        <is>
          <t xml:space="preserve">Ataur Rahman </t>
        </is>
      </c>
      <c r="G127" s="60" t="n">
        <v>1970924075</v>
      </c>
      <c r="H127" s="61" t="inlineStr">
        <is>
          <t>Kishoreganj</t>
        </is>
      </c>
      <c r="I127" s="63" t="inlineStr">
        <is>
          <t>FMCG</t>
        </is>
      </c>
      <c r="J127" s="63" t="inlineStr">
        <is>
          <t>Health  Beauty</t>
        </is>
      </c>
      <c r="K127" s="62" t="n">
        <v>209</v>
      </c>
      <c r="L127" s="63" t="inlineStr">
        <is>
          <t>Park Avenue Men Alexander Amber Wood Perfume Body Spray 120Ml</t>
        </is>
      </c>
      <c r="M127" s="63" t="inlineStr">
        <is>
          <t xml:space="preserve">Connected </t>
        </is>
      </c>
      <c r="N127" s="79" t="inlineStr">
        <is>
          <t>Yes</t>
        </is>
      </c>
      <c r="O127" s="79" t="inlineStr">
        <is>
          <t>On time</t>
        </is>
      </c>
      <c r="P127" s="79" t="n"/>
      <c r="Q127" s="79" t="n"/>
      <c r="R127" s="79" t="inlineStr">
        <is>
          <t>Neutral</t>
        </is>
      </c>
      <c r="S127" s="79" t="inlineStr">
        <is>
          <t>Not Damaged</t>
        </is>
      </c>
      <c r="T127" s="79" t="inlineStr">
        <is>
          <t>Yes</t>
        </is>
      </c>
      <c r="U127" s="79" t="n"/>
      <c r="V127" s="79" t="n"/>
      <c r="W127" s="79" t="n">
        <v>8</v>
      </c>
      <c r="X127" s="79" t="n"/>
      <c r="Y127" s="79" t="inlineStr">
        <is>
          <t>Positive</t>
        </is>
      </c>
      <c r="Z127" s="79" t="n"/>
    </row>
    <row r="128">
      <c r="A128" s="63" t="n"/>
      <c r="B128" s="62" t="n">
        <v>25091625314623</v>
      </c>
      <c r="C128" s="67" t="inlineStr">
        <is>
          <t>Mir Ahsan Abid</t>
        </is>
      </c>
      <c r="D128" s="63" t="n"/>
      <c r="E128" s="62" t="n">
        <v>352083</v>
      </c>
      <c r="F128" s="63" t="inlineStr">
        <is>
          <t xml:space="preserve">Rakibul Hasan </t>
        </is>
      </c>
      <c r="G128" s="60" t="n">
        <v>1839921447</v>
      </c>
      <c r="H128" s="66" t="inlineStr">
        <is>
          <t>Kishoreganj</t>
        </is>
      </c>
      <c r="I128" s="63" t="inlineStr">
        <is>
          <t>Electronics</t>
        </is>
      </c>
      <c r="J128" s="63" t="inlineStr">
        <is>
          <t>Mobiles  Tablets</t>
        </is>
      </c>
      <c r="K128" s="62" t="n">
        <v>104</v>
      </c>
      <c r="L128" s="63" t="inlineStr">
        <is>
          <t>Premium Liquid Silicone Phone case for Xiaomi Poco M3 Liquid Silicon Mobile Back Case Soft Silicone Phone Cover</t>
        </is>
      </c>
      <c r="M128" s="63" t="inlineStr">
        <is>
          <t xml:space="preserve">Connected </t>
        </is>
      </c>
      <c r="N128" s="79" t="inlineStr">
        <is>
          <t>Yes</t>
        </is>
      </c>
      <c r="O128" s="79" t="inlineStr">
        <is>
          <t>On time</t>
        </is>
      </c>
      <c r="P128" s="79" t="n"/>
      <c r="Q128" s="79" t="n"/>
      <c r="R128" s="79" t="inlineStr">
        <is>
          <t>Neutral</t>
        </is>
      </c>
      <c r="S128" s="79" t="inlineStr">
        <is>
          <t>Not Damaged</t>
        </is>
      </c>
      <c r="T128" s="79" t="inlineStr">
        <is>
          <t>Yes</t>
        </is>
      </c>
      <c r="U128" s="79" t="n"/>
      <c r="V128" s="79" t="n"/>
      <c r="W128" s="79" t="n">
        <v>10</v>
      </c>
      <c r="X128" s="79" t="n"/>
      <c r="Y128" s="79" t="inlineStr">
        <is>
          <t>Positive</t>
        </is>
      </c>
      <c r="Z128" s="79" t="n"/>
    </row>
    <row r="129">
      <c r="A129" s="63" t="n"/>
      <c r="B129" s="62" t="n">
        <v>25091671961483</v>
      </c>
      <c r="C129" s="58" t="n"/>
      <c r="D129" s="65" t="n"/>
      <c r="E129" s="62" t="n">
        <v>691622</v>
      </c>
      <c r="F129" s="63" t="inlineStr">
        <is>
          <t xml:space="preserve">MD RRR3 </t>
        </is>
      </c>
      <c r="G129" s="60" t="n">
        <v>1961886679</v>
      </c>
      <c r="H129" s="61" t="inlineStr">
        <is>
          <t>Kishoreganj</t>
        </is>
      </c>
      <c r="I129" s="63" t="inlineStr">
        <is>
          <t>FMCG</t>
        </is>
      </c>
      <c r="J129" s="63" t="inlineStr">
        <is>
          <t>Health  Beauty</t>
        </is>
      </c>
      <c r="K129" s="62" t="n">
        <v>295</v>
      </c>
      <c r="L129" s="63" t="inlineStr">
        <is>
          <t>T9 Vintage USB Rechargeable Hair Trimmer Metal Body with Type-C Fast Charging Port</t>
        </is>
      </c>
      <c r="M129" s="63" t="n"/>
      <c r="N129" s="79" t="n"/>
      <c r="O129" s="79" t="n"/>
      <c r="P129" s="79" t="n"/>
      <c r="Q129" s="79" t="n"/>
      <c r="R129" s="79" t="n"/>
      <c r="S129" s="79" t="n"/>
      <c r="T129" s="79" t="n"/>
      <c r="U129" s="79" t="n"/>
      <c r="V129" s="79" t="n"/>
      <c r="W129" s="79" t="n"/>
      <c r="X129" s="79" t="n"/>
      <c r="Y129" s="79" t="n"/>
      <c r="Z129" s="79" t="n"/>
    </row>
    <row r="130">
      <c r="A130" s="63" t="n"/>
      <c r="B130" s="62" t="n">
        <v>25091673398051</v>
      </c>
      <c r="C130" s="58" t="n"/>
      <c r="D130" s="65" t="n"/>
      <c r="E130" s="62" t="n">
        <v>577997</v>
      </c>
      <c r="F130" s="63" t="inlineStr">
        <is>
          <t xml:space="preserve">Mr./Ms. </t>
        </is>
      </c>
      <c r="G130" s="60" t="n">
        <v>1942009125</v>
      </c>
      <c r="H130" s="66" t="inlineStr">
        <is>
          <t>Kishoreganj</t>
        </is>
      </c>
      <c r="I130" s="63" t="inlineStr">
        <is>
          <t>Electronics</t>
        </is>
      </c>
      <c r="J130" s="63" t="inlineStr">
        <is>
          <t>Computers  Laptops</t>
        </is>
      </c>
      <c r="K130" s="62" t="n">
        <v>129</v>
      </c>
      <c r="L130" s="63" t="inlineStr">
        <is>
          <t>4 ports of high speed USB hub high-speed USB 3.0 SPLITTER BLACK BLACK</t>
        </is>
      </c>
      <c r="M130" s="63" t="n"/>
      <c r="N130" s="79" t="n"/>
      <c r="O130" s="79" t="n"/>
      <c r="P130" s="79" t="n"/>
      <c r="Q130" s="79" t="n"/>
      <c r="R130" s="79" t="n"/>
      <c r="S130" s="79" t="n"/>
      <c r="T130" s="79" t="n"/>
      <c r="U130" s="79" t="n"/>
      <c r="V130" s="79" t="n"/>
      <c r="W130" s="79" t="n"/>
      <c r="X130" s="79" t="n"/>
      <c r="Y130" s="79" t="n"/>
      <c r="Z130" s="79" t="n"/>
    </row>
    <row r="131">
      <c r="A131" s="63" t="n"/>
      <c r="B131" s="62" t="n">
        <v>25091665131327</v>
      </c>
      <c r="C131" s="58" t="n"/>
      <c r="D131" s="65" t="n"/>
      <c r="E131" s="62" t="n">
        <v>690986</v>
      </c>
      <c r="F131" s="63" t="inlineStr">
        <is>
          <t xml:space="preserve">al sayed </t>
        </is>
      </c>
      <c r="G131" s="60" t="n">
        <v>1857027162</v>
      </c>
      <c r="H131" s="66" t="inlineStr">
        <is>
          <t>Kurigram</t>
        </is>
      </c>
      <c r="I131" s="63" t="inlineStr">
        <is>
          <t>Lifestyle</t>
        </is>
      </c>
      <c r="J131" s="63" t="inlineStr">
        <is>
          <t>Tools, DIY  Outdoor</t>
        </is>
      </c>
      <c r="K131" s="62" t="n">
        <v>155</v>
      </c>
      <c r="L131" s="63" t="inlineStr">
        <is>
          <t>Digital LCD Mini Thermometer Hygrometer Fridge Freezer Temperature Humidity Meter</t>
        </is>
      </c>
      <c r="M131" s="63" t="n"/>
      <c r="N131" s="79" t="n"/>
      <c r="O131" s="79" t="n"/>
      <c r="P131" s="79" t="n"/>
      <c r="Q131" s="79" t="n"/>
      <c r="R131" s="79" t="n"/>
      <c r="S131" s="79" t="n"/>
      <c r="T131" s="79" t="n"/>
      <c r="U131" s="79" t="n"/>
      <c r="V131" s="79" t="n"/>
      <c r="W131" s="79" t="n"/>
      <c r="X131" s="79" t="n"/>
      <c r="Y131" s="79" t="n"/>
      <c r="Z131" s="79" t="n"/>
    </row>
    <row r="132">
      <c r="A132" s="63" t="n"/>
      <c r="B132" s="62" t="n">
        <v>25091718799776</v>
      </c>
      <c r="C132" s="58" t="n"/>
      <c r="D132" s="65" t="n"/>
      <c r="E132" s="62" t="n">
        <v>222302</v>
      </c>
      <c r="F132" s="63" t="inlineStr">
        <is>
          <t xml:space="preserve">KAMRUL HASAN </t>
        </is>
      </c>
      <c r="G132" s="60" t="n">
        <v>1811961179</v>
      </c>
      <c r="H132" s="61" t="inlineStr">
        <is>
          <t>Kurigram</t>
        </is>
      </c>
      <c r="I132" s="63" t="inlineStr">
        <is>
          <t>Lifestyle</t>
        </is>
      </c>
      <c r="J132" s="63" t="inlineStr">
        <is>
          <t>Tools, DIY  Outdoor</t>
        </is>
      </c>
      <c r="K132" s="62" t="n">
        <v>136</v>
      </c>
      <c r="L132" s="63" t="inlineStr">
        <is>
          <t>Dc 0-200V 10A Digital Voltmeter Ammeter Blue Red Led Amp Volt Meter Car Voltage Current Monitor - Precise Voltage Monitoring With Dual Display</t>
        </is>
      </c>
      <c r="M132" s="63" t="n"/>
      <c r="N132" s="79" t="n"/>
      <c r="O132" s="79" t="n"/>
      <c r="P132" s="79" t="n"/>
      <c r="Q132" s="79" t="n"/>
      <c r="R132" s="79" t="n"/>
      <c r="S132" s="79" t="n"/>
      <c r="T132" s="79" t="n"/>
      <c r="U132" s="79" t="n"/>
      <c r="V132" s="79" t="n"/>
      <c r="W132" s="79" t="n"/>
      <c r="X132" s="79" t="n"/>
      <c r="Y132" s="79" t="n"/>
      <c r="Z132" s="79" t="n"/>
    </row>
    <row r="133">
      <c r="A133" s="63" t="n"/>
      <c r="B133" s="62" t="n">
        <v>25091773499095</v>
      </c>
      <c r="C133" s="58" t="n"/>
      <c r="D133" s="65" t="n"/>
      <c r="E133" s="62" t="n">
        <v>341487</v>
      </c>
      <c r="F133" s="63" t="inlineStr">
        <is>
          <t xml:space="preserve">Rasel Ahmed </t>
        </is>
      </c>
      <c r="G133" s="60" t="n">
        <v>1789765388</v>
      </c>
      <c r="H133" s="61" t="inlineStr">
        <is>
          <t>Kurigram</t>
        </is>
      </c>
      <c r="I133" s="63" t="inlineStr">
        <is>
          <t>Electronics</t>
        </is>
      </c>
      <c r="J133" s="63" t="inlineStr">
        <is>
          <t>Mobiles  Tablets</t>
        </is>
      </c>
      <c r="K133" s="62" t="n">
        <v>2112</v>
      </c>
      <c r="L133" s="63" t="inlineStr">
        <is>
          <t>HOCO | J155 | 20,000 mAh | 22.5 W Fast‑Charge PD20W/QC3.0 | LED Display | Portable Power Bank | Bangladesh</t>
        </is>
      </c>
      <c r="M133" s="63" t="n"/>
      <c r="N133" s="79" t="n"/>
      <c r="O133" s="79" t="n"/>
      <c r="P133" s="79" t="n"/>
      <c r="Q133" s="79" t="n"/>
      <c r="R133" s="79" t="n"/>
      <c r="S133" s="79" t="n"/>
      <c r="T133" s="79" t="n"/>
      <c r="U133" s="79" t="n"/>
      <c r="V133" s="79" t="n"/>
      <c r="W133" s="79" t="n"/>
      <c r="X133" s="79" t="n"/>
      <c r="Y133" s="79" t="n"/>
      <c r="Z133" s="79" t="n"/>
    </row>
    <row r="134">
      <c r="A134" s="63" t="n"/>
      <c r="B134" s="62" t="n">
        <v>25091813975828</v>
      </c>
      <c r="C134" s="58" t="n"/>
      <c r="D134" s="65" t="n"/>
      <c r="E134" s="62" t="n">
        <v>175807</v>
      </c>
      <c r="F134" s="63" t="inlineStr">
        <is>
          <t>Abdul Hadi</t>
        </is>
      </c>
      <c r="G134" s="60" t="n">
        <v>1796730511</v>
      </c>
      <c r="H134" s="66" t="inlineStr">
        <is>
          <t>Kurigram</t>
        </is>
      </c>
      <c r="I134" s="63" t="inlineStr">
        <is>
          <t>FMCG</t>
        </is>
      </c>
      <c r="J134" s="63" t="inlineStr">
        <is>
          <t>Groceries</t>
        </is>
      </c>
      <c r="K134" s="62" t="n">
        <v>162</v>
      </c>
      <c r="L134" s="63" t="inlineStr">
        <is>
          <t>Partex Cleen Napkin Tissue  13''x13'' (100 Pcs x 1 Ply) - White Regular</t>
        </is>
      </c>
      <c r="M134" s="63" t="n"/>
      <c r="N134" s="79" t="n"/>
      <c r="O134" s="79" t="n"/>
      <c r="P134" s="79" t="n"/>
      <c r="Q134" s="79" t="n"/>
      <c r="R134" s="79" t="n"/>
      <c r="S134" s="79" t="n"/>
      <c r="T134" s="79" t="n"/>
      <c r="U134" s="79" t="n"/>
      <c r="V134" s="79" t="n"/>
      <c r="W134" s="79" t="n"/>
      <c r="X134" s="79" t="n"/>
      <c r="Y134" s="79" t="n"/>
      <c r="Z134" s="79" t="n"/>
    </row>
    <row r="135">
      <c r="A135" s="63" t="n"/>
      <c r="B135" s="62" t="n">
        <v>25091617104382</v>
      </c>
      <c r="C135" s="67" t="inlineStr">
        <is>
          <t>Mir Ahsan Abid</t>
        </is>
      </c>
      <c r="D135" s="63" t="n"/>
      <c r="E135" s="62" t="n">
        <v>465946</v>
      </c>
      <c r="F135" s="63" t="inlineStr">
        <is>
          <t xml:space="preserve">PURE FAFOR BUZZ </t>
        </is>
      </c>
      <c r="G135" s="60" t="n">
        <v>1752932779</v>
      </c>
      <c r="H135" s="61" t="inlineStr">
        <is>
          <t>Kushtia</t>
        </is>
      </c>
      <c r="I135" s="63" t="inlineStr">
        <is>
          <t>FMCG</t>
        </is>
      </c>
      <c r="J135" s="63" t="inlineStr">
        <is>
          <t>Groceries</t>
        </is>
      </c>
      <c r="K135" s="62" t="n">
        <v>50</v>
      </c>
      <c r="L135" s="63" t="inlineStr">
        <is>
          <t>Bisk Club Shero Biscuit - 85gm</t>
        </is>
      </c>
      <c r="M135" s="63" t="inlineStr">
        <is>
          <t xml:space="preserve">Connected </t>
        </is>
      </c>
      <c r="N135" s="79" t="inlineStr">
        <is>
          <t>Yes</t>
        </is>
      </c>
      <c r="O135" s="79" t="inlineStr">
        <is>
          <t>Earlier than expected</t>
        </is>
      </c>
      <c r="P135" s="79" t="n"/>
      <c r="Q135" s="79" t="n"/>
      <c r="R135" s="79" t="inlineStr">
        <is>
          <t>Very polite</t>
        </is>
      </c>
      <c r="S135" s="79" t="inlineStr">
        <is>
          <t>Not Damaged</t>
        </is>
      </c>
      <c r="T135" s="79" t="inlineStr">
        <is>
          <t>Yes</t>
        </is>
      </c>
      <c r="U135" s="79" t="n"/>
      <c r="V135" s="79" t="n"/>
      <c r="W135" s="79" t="n">
        <v>8</v>
      </c>
      <c r="X135" s="79" t="n"/>
      <c r="Y135" s="79" t="inlineStr">
        <is>
          <t>Positive</t>
        </is>
      </c>
      <c r="Z135" s="79" t="n"/>
    </row>
    <row r="136">
      <c r="A136" s="63" t="n"/>
      <c r="B136" s="62" t="n">
        <v>25091626620247</v>
      </c>
      <c r="C136" s="67" t="inlineStr">
        <is>
          <t>Mir Ahsan Abid</t>
        </is>
      </c>
      <c r="D136" s="63" t="n"/>
      <c r="E136" s="62" t="n">
        <v>551230</v>
      </c>
      <c r="F136" s="63" t="inlineStr">
        <is>
          <t xml:space="preserve">Mr./Ms. </t>
        </is>
      </c>
      <c r="G136" s="60" t="n">
        <v>1756286320</v>
      </c>
      <c r="H136" s="61" t="inlineStr">
        <is>
          <t>Kushtia</t>
        </is>
      </c>
      <c r="I136" s="63" t="inlineStr">
        <is>
          <t>FMCG</t>
        </is>
      </c>
      <c r="J136" s="63" t="inlineStr">
        <is>
          <t>Mother  Baby</t>
        </is>
      </c>
      <c r="K136" s="62" t="n">
        <v>44</v>
      </c>
      <c r="L136" s="63" t="inlineStr">
        <is>
          <t>Baby Finger Toothbrush | Children's Silicon Finger Transparent Toothbrush</t>
        </is>
      </c>
      <c r="M136" s="63" t="inlineStr">
        <is>
          <t>Not Connected</t>
        </is>
      </c>
      <c r="N136" s="79" t="n"/>
      <c r="O136" s="79" t="n"/>
      <c r="P136" s="79" t="n"/>
      <c r="Q136" s="79" t="n"/>
      <c r="R136" s="79" t="n"/>
      <c r="S136" s="79" t="n"/>
      <c r="T136" s="79" t="n"/>
      <c r="U136" s="79" t="n"/>
      <c r="V136" s="79" t="n"/>
      <c r="W136" s="79" t="n"/>
      <c r="X136" s="79" t="n"/>
      <c r="Y136" s="79" t="n"/>
      <c r="Z136" s="79" t="n"/>
    </row>
    <row r="137">
      <c r="A137" s="63" t="n"/>
      <c r="B137" s="62" t="n">
        <v>25091636082686</v>
      </c>
      <c r="C137" s="58" t="n"/>
      <c r="D137" s="63" t="n"/>
      <c r="E137" s="62" t="n">
        <v>689539</v>
      </c>
      <c r="F137" s="63" t="inlineStr">
        <is>
          <t xml:space="preserve">Golam Rasul Babu </t>
        </is>
      </c>
      <c r="G137" s="60" t="n">
        <v>1768089560</v>
      </c>
      <c r="H137" s="66" t="inlineStr">
        <is>
          <t>Kushtia</t>
        </is>
      </c>
      <c r="I137" s="63" t="inlineStr">
        <is>
          <t>Lifestyle</t>
        </is>
      </c>
      <c r="J137" s="63" t="inlineStr">
        <is>
          <t>Motors</t>
        </is>
      </c>
      <c r="K137" s="62" t="n">
        <v>92</v>
      </c>
      <c r="L137" s="63" t="inlineStr">
        <is>
          <t>License Pouch Bag PU Leather Documents Holder for Car &amp; Bike Synthetic Leather and Waterproof Bike Documents Holder</t>
        </is>
      </c>
      <c r="M137" s="63" t="n"/>
      <c r="N137" s="79" t="n"/>
      <c r="O137" s="79" t="n"/>
      <c r="P137" s="79" t="n"/>
      <c r="Q137" s="79" t="n"/>
      <c r="R137" s="79" t="n"/>
      <c r="S137" s="79" t="n"/>
      <c r="T137" s="79" t="n"/>
      <c r="U137" s="79" t="n"/>
      <c r="V137" s="79" t="n"/>
      <c r="W137" s="79" t="n"/>
      <c r="X137" s="79" t="n"/>
      <c r="Y137" s="79" t="n"/>
      <c r="Z137" s="79" t="n"/>
    </row>
    <row r="138">
      <c r="A138" s="63" t="n"/>
      <c r="B138" s="62" t="n">
        <v>25091645779278</v>
      </c>
      <c r="C138" s="58" t="n"/>
      <c r="D138" s="65" t="n"/>
      <c r="E138" s="62" t="n">
        <v>24781</v>
      </c>
      <c r="F138" s="63" t="inlineStr">
        <is>
          <t xml:space="preserve">Md. Hafiz Uddin </t>
        </is>
      </c>
      <c r="G138" s="60" t="n">
        <v>1881080002</v>
      </c>
      <c r="H138" s="61" t="inlineStr">
        <is>
          <t>Kushtia</t>
        </is>
      </c>
      <c r="I138" s="63" t="inlineStr">
        <is>
          <t>Electronics</t>
        </is>
      </c>
      <c r="J138" s="63" t="inlineStr">
        <is>
          <t>Mobiles  Tablets</t>
        </is>
      </c>
      <c r="K138" s="62" t="n">
        <v>181</v>
      </c>
      <c r="L138" s="63" t="inlineStr">
        <is>
          <t>Samsung Galaxy S9 Plus camera protection smoke case matte finish mobile back cover</t>
        </is>
      </c>
      <c r="M138" s="63" t="n"/>
      <c r="N138" s="79" t="n"/>
      <c r="O138" s="79" t="n"/>
      <c r="P138" s="79" t="n"/>
      <c r="Q138" s="79" t="n"/>
      <c r="R138" s="79" t="n"/>
      <c r="S138" s="79" t="n"/>
      <c r="T138" s="79" t="n"/>
      <c r="U138" s="79" t="n"/>
      <c r="V138" s="79" t="n"/>
      <c r="W138" s="79" t="n"/>
      <c r="X138" s="79" t="n"/>
      <c r="Y138" s="79" t="n"/>
      <c r="Z138" s="79" t="n"/>
    </row>
    <row r="139">
      <c r="A139" s="63" t="n"/>
      <c r="B139" s="62" t="n">
        <v>25091625779568</v>
      </c>
      <c r="C139" s="67" t="inlineStr">
        <is>
          <t>Mir Ahsan Abid</t>
        </is>
      </c>
      <c r="D139" s="63" t="n"/>
      <c r="E139" s="62" t="n">
        <v>685298</v>
      </c>
      <c r="F139" s="63" t="inlineStr">
        <is>
          <t xml:space="preserve">Adnan Siam </t>
        </is>
      </c>
      <c r="G139" s="60" t="n">
        <v>1842295679</v>
      </c>
      <c r="H139" s="66" t="inlineStr">
        <is>
          <t>Lakshmipur</t>
        </is>
      </c>
      <c r="I139" s="63" t="inlineStr">
        <is>
          <t>Fashion</t>
        </is>
      </c>
      <c r="J139" s="63" t="inlineStr">
        <is>
          <t>Bags and Travel</t>
        </is>
      </c>
      <c r="K139" s="62" t="n">
        <v>39</v>
      </c>
      <c r="L139" s="63" t="inlineStr">
        <is>
          <t>Eye Mask / Sleeping Mask - Black</t>
        </is>
      </c>
      <c r="M139" s="63" t="inlineStr">
        <is>
          <t>Not Connected</t>
        </is>
      </c>
      <c r="N139" s="79" t="n"/>
      <c r="O139" s="79" t="n"/>
      <c r="P139" s="79" t="n"/>
      <c r="Q139" s="79" t="n"/>
      <c r="R139" s="79" t="n"/>
      <c r="S139" s="79" t="n"/>
      <c r="T139" s="79" t="n"/>
      <c r="U139" s="79" t="n"/>
      <c r="V139" s="79" t="n"/>
      <c r="W139" s="79" t="n"/>
      <c r="X139" s="79" t="n"/>
      <c r="Y139" s="79" t="n"/>
      <c r="Z139" s="79" t="n"/>
    </row>
    <row r="140">
      <c r="A140" s="63" t="n"/>
      <c r="B140" s="62" t="n">
        <v>25091641735136</v>
      </c>
      <c r="C140" s="58" t="n"/>
      <c r="D140" s="65" t="n"/>
      <c r="E140" s="62" t="n">
        <v>573973</v>
      </c>
      <c r="F140" s="63" t="inlineStr">
        <is>
          <t xml:space="preserve">Md Rayhan Hossain </t>
        </is>
      </c>
      <c r="G140" s="60" t="n">
        <v>1768019953</v>
      </c>
      <c r="H140" s="66" t="inlineStr">
        <is>
          <t>Lakshmipur</t>
        </is>
      </c>
      <c r="I140" s="63" t="inlineStr">
        <is>
          <t>Lifestyle</t>
        </is>
      </c>
      <c r="J140" s="63" t="inlineStr">
        <is>
          <t>Furniture  Decor</t>
        </is>
      </c>
      <c r="K140" s="62" t="n">
        <v>85</v>
      </c>
      <c r="L140" s="63" t="inlineStr">
        <is>
          <t>Dim Mashroom Light Green Flower - Multicolor</t>
        </is>
      </c>
      <c r="M140" s="63" t="n"/>
      <c r="N140" s="79" t="n"/>
      <c r="O140" s="79" t="n"/>
      <c r="P140" s="79" t="n"/>
      <c r="Q140" s="79" t="n"/>
      <c r="R140" s="79" t="n"/>
      <c r="S140" s="79" t="n"/>
      <c r="T140" s="79" t="n"/>
      <c r="U140" s="79" t="n"/>
      <c r="V140" s="79" t="n"/>
      <c r="W140" s="79" t="n"/>
      <c r="X140" s="79" t="n"/>
      <c r="Y140" s="79" t="n"/>
      <c r="Z140" s="79" t="n"/>
    </row>
    <row r="141">
      <c r="A141" s="63" t="n"/>
      <c r="B141" s="62" t="n">
        <v>25091666917514</v>
      </c>
      <c r="C141" s="58" t="n"/>
      <c r="D141" s="65" t="n"/>
      <c r="E141" s="62" t="n">
        <v>689857</v>
      </c>
      <c r="F141" s="63" t="inlineStr">
        <is>
          <t>Saddam Mahmud Rana</t>
        </is>
      </c>
      <c r="G141" s="60" t="n">
        <v>1621200066</v>
      </c>
      <c r="H141" s="61" t="inlineStr">
        <is>
          <t>Lakshmipur</t>
        </is>
      </c>
      <c r="I141" s="63" t="inlineStr">
        <is>
          <t>FMCG</t>
        </is>
      </c>
      <c r="J141" s="63" t="inlineStr">
        <is>
          <t>Mother  Baby</t>
        </is>
      </c>
      <c r="K141" s="62" t="n">
        <v>159</v>
      </c>
      <c r="L141" s="63" t="inlineStr">
        <is>
          <t>Parachute Just for Baby - Face Cream 100g</t>
        </is>
      </c>
      <c r="M141" s="63" t="n"/>
      <c r="N141" s="79" t="n"/>
      <c r="O141" s="79" t="n"/>
      <c r="P141" s="79" t="n"/>
      <c r="Q141" s="79" t="n"/>
      <c r="R141" s="79" t="n"/>
      <c r="S141" s="79" t="n"/>
      <c r="T141" s="79" t="n"/>
      <c r="U141" s="79" t="n"/>
      <c r="V141" s="79" t="n"/>
      <c r="W141" s="79" t="n"/>
      <c r="X141" s="79" t="n"/>
      <c r="Y141" s="79" t="n"/>
      <c r="Z141" s="79" t="n"/>
    </row>
    <row r="142">
      <c r="A142" s="63" t="n"/>
      <c r="B142" s="62" t="n">
        <v>25091717402757</v>
      </c>
      <c r="C142" s="58" t="n"/>
      <c r="D142" s="65" t="n"/>
      <c r="E142" s="62" t="n">
        <v>695823</v>
      </c>
      <c r="F142" s="63" t="inlineStr">
        <is>
          <t xml:space="preserve">Md Juwel Hossain </t>
        </is>
      </c>
      <c r="G142" s="60" t="n">
        <v>1619782674</v>
      </c>
      <c r="H142" s="61" t="inlineStr">
        <is>
          <t>Lakshmipur</t>
        </is>
      </c>
      <c r="I142" s="63" t="inlineStr">
        <is>
          <t>Lifestyle</t>
        </is>
      </c>
      <c r="J142" s="63" t="inlineStr">
        <is>
          <t>Sports  Outdoors</t>
        </is>
      </c>
      <c r="K142" s="62" t="n">
        <v>1497</v>
      </c>
      <c r="L142" s="63" t="inlineStr">
        <is>
          <t>Multi-functional Trekking Pole Emergency Escape Tool Expandable 26 Inch Length</t>
        </is>
      </c>
      <c r="M142" s="63" t="n"/>
      <c r="N142" s="79" t="n"/>
      <c r="O142" s="79" t="n"/>
      <c r="P142" s="79" t="n"/>
      <c r="Q142" s="79" t="n"/>
      <c r="R142" s="79" t="n"/>
      <c r="S142" s="79" t="n"/>
      <c r="T142" s="79" t="n"/>
      <c r="U142" s="79" t="n"/>
      <c r="V142" s="79" t="n"/>
      <c r="W142" s="79" t="n"/>
      <c r="X142" s="79" t="n"/>
      <c r="Y142" s="79" t="n"/>
      <c r="Z142" s="79" t="n"/>
    </row>
    <row r="143">
      <c r="A143" s="63" t="n"/>
      <c r="B143" s="62" t="n">
        <v>25091624895051</v>
      </c>
      <c r="C143" s="67" t="inlineStr">
        <is>
          <t>Mir Ahsan Abid</t>
        </is>
      </c>
      <c r="D143" s="63" t="n"/>
      <c r="E143" s="62" t="n">
        <v>612119</v>
      </c>
      <c r="F143" s="63" t="inlineStr">
        <is>
          <t xml:space="preserve">Mr./Ms. </t>
        </is>
      </c>
      <c r="G143" s="60" t="n">
        <v>1712135367</v>
      </c>
      <c r="H143" s="66" t="inlineStr">
        <is>
          <t>Lalmonirhat</t>
        </is>
      </c>
      <c r="I143" s="63" t="inlineStr">
        <is>
          <t>Lifestyle</t>
        </is>
      </c>
      <c r="J143" s="63" t="inlineStr">
        <is>
          <t>Toys  Games</t>
        </is>
      </c>
      <c r="K143" s="62" t="n">
        <v>93</v>
      </c>
      <c r="L143" s="63" t="inlineStr">
        <is>
          <t>Mini Friction Spider Man Toy Car For Kids-Super Stylish Two Sided Car</t>
        </is>
      </c>
      <c r="M143" s="63" t="inlineStr">
        <is>
          <t xml:space="preserve">Connected </t>
        </is>
      </c>
      <c r="N143" s="79" t="inlineStr">
        <is>
          <t>Yes</t>
        </is>
      </c>
      <c r="O143" s="79" t="inlineStr">
        <is>
          <t>On time</t>
        </is>
      </c>
      <c r="P143" s="79" t="n"/>
      <c r="Q143" s="79" t="n"/>
      <c r="R143" s="79" t="inlineStr">
        <is>
          <t>Neutral</t>
        </is>
      </c>
      <c r="S143" s="79" t="inlineStr">
        <is>
          <t>Not Damaged</t>
        </is>
      </c>
      <c r="T143" s="79" t="inlineStr">
        <is>
          <t>Didn't check</t>
        </is>
      </c>
      <c r="U143" s="79" t="n"/>
      <c r="V143" s="79" t="n"/>
      <c r="W143" s="79" t="n">
        <v>9</v>
      </c>
      <c r="X143" s="79" t="n"/>
      <c r="Y143" s="79" t="inlineStr">
        <is>
          <t>Positive</t>
        </is>
      </c>
      <c r="Z143" s="79" t="n"/>
    </row>
    <row r="144">
      <c r="A144" s="63" t="n"/>
      <c r="B144" s="62" t="n">
        <v>25091682503499</v>
      </c>
      <c r="C144" s="58" t="n"/>
      <c r="D144" s="65" t="n"/>
      <c r="E144" s="62" t="n">
        <v>573365</v>
      </c>
      <c r="F144" s="63" t="inlineStr">
        <is>
          <t xml:space="preserve">Mr./Ms. </t>
        </is>
      </c>
      <c r="G144" s="60" t="n">
        <v>1750933581</v>
      </c>
      <c r="H144" s="66" t="inlineStr">
        <is>
          <t>Lalmonirhat</t>
        </is>
      </c>
      <c r="I144" s="63" t="inlineStr">
        <is>
          <t>Fashion</t>
        </is>
      </c>
      <c r="J144" s="63" t="inlineStr">
        <is>
          <t>Fashion</t>
        </is>
      </c>
      <c r="K144" s="62" t="n">
        <v>422</v>
      </c>
      <c r="L144" s="63" t="inlineStr">
        <is>
          <t>Fashionable Artificial Leather Loafer for Men-Special Offer</t>
        </is>
      </c>
      <c r="M144" s="63" t="n"/>
      <c r="N144" s="79" t="n"/>
      <c r="O144" s="79" t="n"/>
      <c r="P144" s="79" t="n"/>
      <c r="Q144" s="79" t="n"/>
      <c r="R144" s="79" t="n"/>
      <c r="S144" s="79" t="n"/>
      <c r="T144" s="79" t="n"/>
      <c r="U144" s="79" t="n"/>
      <c r="V144" s="79" t="n"/>
      <c r="W144" s="79" t="n"/>
      <c r="X144" s="79" t="n"/>
      <c r="Y144" s="79" t="n"/>
      <c r="Z144" s="79" t="n"/>
    </row>
    <row r="145">
      <c r="A145" s="63" t="n"/>
      <c r="B145" s="62" t="n">
        <v>25091741157648</v>
      </c>
      <c r="C145" s="58" t="n"/>
      <c r="D145" s="65" t="n"/>
      <c r="E145" s="62" t="n">
        <v>678818</v>
      </c>
      <c r="F145" s="63" t="inlineStr">
        <is>
          <t xml:space="preserve">Nur Mohammad </t>
        </is>
      </c>
      <c r="G145" s="60" t="n">
        <v>1883732279</v>
      </c>
      <c r="H145" s="61" t="inlineStr">
        <is>
          <t>Lalmonirhat</t>
        </is>
      </c>
      <c r="I145" s="63" t="inlineStr">
        <is>
          <t>Lifestyle</t>
        </is>
      </c>
      <c r="J145" s="63" t="inlineStr">
        <is>
          <t>Furniture  Decor</t>
        </is>
      </c>
      <c r="K145" s="62" t="n">
        <v>125</v>
      </c>
      <c r="L145" s="63" t="inlineStr">
        <is>
          <t>LED sensor Mushroom Night Light Lamp – White</t>
        </is>
      </c>
      <c r="M145" s="63" t="n"/>
      <c r="N145" s="79" t="n"/>
      <c r="O145" s="79" t="n"/>
      <c r="P145" s="79" t="n"/>
      <c r="Q145" s="79" t="n"/>
      <c r="R145" s="79" t="n"/>
      <c r="S145" s="79" t="n"/>
      <c r="T145" s="79" t="n"/>
      <c r="U145" s="79" t="n"/>
      <c r="V145" s="79" t="n"/>
      <c r="W145" s="79" t="n"/>
      <c r="X145" s="79" t="n"/>
      <c r="Y145" s="79" t="n"/>
      <c r="Z145" s="79" t="n"/>
    </row>
    <row r="146">
      <c r="A146" s="63" t="n"/>
      <c r="B146" s="62" t="n">
        <v>25091766786049</v>
      </c>
      <c r="C146" s="58" t="n"/>
      <c r="D146" s="65" t="n"/>
      <c r="E146" s="62" t="n">
        <v>612119</v>
      </c>
      <c r="F146" s="63" t="inlineStr">
        <is>
          <t xml:space="preserve">Mr./Ms. </t>
        </is>
      </c>
      <c r="G146" s="60" t="n">
        <v>1712135367</v>
      </c>
      <c r="H146" s="61" t="inlineStr">
        <is>
          <t>Lalmonirhat</t>
        </is>
      </c>
      <c r="I146" s="63" t="inlineStr">
        <is>
          <t>FMCG</t>
        </is>
      </c>
      <c r="J146" s="63" t="inlineStr">
        <is>
          <t>Health  Beauty</t>
        </is>
      </c>
      <c r="K146" s="62" t="n">
        <v>66</v>
      </c>
      <c r="L146" s="63" t="inlineStr">
        <is>
          <t>SKORE - Strawberry Climax Delay With Raised Dots Condom - Single Pack - 3x1=3pcs</t>
        </is>
      </c>
      <c r="M146" s="63" t="n"/>
      <c r="N146" s="79" t="n"/>
      <c r="O146" s="79" t="n"/>
      <c r="P146" s="79" t="n"/>
      <c r="Q146" s="79" t="n"/>
      <c r="R146" s="79" t="n"/>
      <c r="S146" s="79" t="n"/>
      <c r="T146" s="79" t="n"/>
      <c r="U146" s="79" t="n"/>
      <c r="V146" s="79" t="n"/>
      <c r="W146" s="79" t="n"/>
      <c r="X146" s="79" t="n"/>
      <c r="Y146" s="79" t="n"/>
      <c r="Z146" s="79" t="n"/>
    </row>
    <row r="147">
      <c r="A147" s="63" t="n"/>
      <c r="B147" s="62" t="n">
        <v>25091626788703</v>
      </c>
      <c r="C147" s="67" t="inlineStr">
        <is>
          <t>Mir Ahsan Abid</t>
        </is>
      </c>
      <c r="D147" s="63" t="n"/>
      <c r="E147" s="62" t="n">
        <v>436442</v>
      </c>
      <c r="F147" s="63" t="inlineStr">
        <is>
          <t xml:space="preserve">Md Bayezid Hoshen </t>
        </is>
      </c>
      <c r="G147" s="60" t="n">
        <v>1300268743</v>
      </c>
      <c r="H147" s="61" t="inlineStr">
        <is>
          <t>Madaripur</t>
        </is>
      </c>
      <c r="I147" s="63" t="inlineStr">
        <is>
          <t>FMCG</t>
        </is>
      </c>
      <c r="J147" s="63" t="inlineStr">
        <is>
          <t>Mother  Baby</t>
        </is>
      </c>
      <c r="K147" s="62" t="n">
        <v>1258</v>
      </c>
      <c r="L147" s="63" t="inlineStr">
        <is>
          <t>Fresh Happy Nappy Pant Diaper 9-14 kg (L-Size) 34pcs</t>
        </is>
      </c>
      <c r="M147" s="63" t="inlineStr">
        <is>
          <t>Not Connected</t>
        </is>
      </c>
      <c r="N147" s="79" t="n"/>
      <c r="O147" s="79" t="n"/>
      <c r="P147" s="79" t="n"/>
      <c r="Q147" s="79" t="n"/>
      <c r="R147" s="79" t="n"/>
      <c r="S147" s="79" t="n"/>
      <c r="T147" s="79" t="n"/>
      <c r="U147" s="79" t="n"/>
      <c r="V147" s="79" t="n"/>
      <c r="W147" s="79" t="n"/>
      <c r="X147" s="79" t="n"/>
      <c r="Y147" s="79" t="n"/>
      <c r="Z147" s="79" t="n"/>
    </row>
    <row r="148">
      <c r="A148" s="63" t="n"/>
      <c r="B148" s="62" t="n">
        <v>25091674416056</v>
      </c>
      <c r="C148" s="58" t="n"/>
      <c r="D148" s="65" t="n"/>
      <c r="E148" s="62" t="n">
        <v>690853</v>
      </c>
      <c r="F148" s="63" t="inlineStr">
        <is>
          <t xml:space="preserve">Keya Hasan </t>
        </is>
      </c>
      <c r="G148" s="60" t="n">
        <v>1796593942</v>
      </c>
      <c r="H148" s="66" t="inlineStr">
        <is>
          <t>Madaripur</t>
        </is>
      </c>
      <c r="I148" s="63" t="inlineStr">
        <is>
          <t>Lifestyle</t>
        </is>
      </c>
      <c r="J148" s="63" t="inlineStr">
        <is>
          <t>Kitchen  Dining</t>
        </is>
      </c>
      <c r="K148" s="62" t="n">
        <v>335</v>
      </c>
      <c r="L148" s="63" t="inlineStr">
        <is>
          <t>Stainless Steel Food Box 5 Pieces With Food Grade Plastic Cover - Tiffin Box For Office</t>
        </is>
      </c>
      <c r="M148" s="63" t="n"/>
      <c r="N148" s="79" t="n"/>
      <c r="O148" s="79" t="n"/>
      <c r="P148" s="79" t="n"/>
      <c r="Q148" s="79" t="n"/>
      <c r="R148" s="79" t="n"/>
      <c r="S148" s="79" t="n"/>
      <c r="T148" s="79" t="n"/>
      <c r="U148" s="79" t="n"/>
      <c r="V148" s="79" t="n"/>
      <c r="W148" s="79" t="n"/>
      <c r="X148" s="79" t="n"/>
      <c r="Y148" s="79" t="n"/>
      <c r="Z148" s="79" t="n"/>
    </row>
    <row r="149">
      <c r="A149" s="63" t="n"/>
      <c r="B149" s="62" t="n">
        <v>25091745085960</v>
      </c>
      <c r="C149" s="58" t="n"/>
      <c r="D149" s="65" t="n"/>
      <c r="E149" s="62" t="n">
        <v>436300</v>
      </c>
      <c r="F149" s="63" t="inlineStr">
        <is>
          <t>SH LIMON</t>
        </is>
      </c>
      <c r="G149" s="60" t="n">
        <v>1741022038</v>
      </c>
      <c r="H149" s="61" t="inlineStr">
        <is>
          <t>Madaripur</t>
        </is>
      </c>
      <c r="I149" s="63" t="inlineStr">
        <is>
          <t>FMCG</t>
        </is>
      </c>
      <c r="J149" s="63" t="inlineStr">
        <is>
          <t>Mother  Baby</t>
        </is>
      </c>
      <c r="K149" s="62" t="n">
        <v>840</v>
      </c>
      <c r="L149" s="63" t="inlineStr">
        <is>
          <t>CERELAC Stage 1- 3 Fruits 350gm BIB</t>
        </is>
      </c>
      <c r="M149" s="63" t="n"/>
      <c r="N149" s="79" t="n"/>
      <c r="O149" s="79" t="n"/>
      <c r="P149" s="79" t="n"/>
      <c r="Q149" s="79" t="n"/>
      <c r="R149" s="79" t="n"/>
      <c r="S149" s="79" t="n"/>
      <c r="T149" s="79" t="n"/>
      <c r="U149" s="79" t="n"/>
      <c r="V149" s="79" t="n"/>
      <c r="W149" s="79" t="n"/>
      <c r="X149" s="79" t="n"/>
      <c r="Y149" s="79" t="n"/>
      <c r="Z149" s="79" t="n"/>
    </row>
    <row r="150">
      <c r="A150" s="63" t="n"/>
      <c r="B150" s="62" t="n">
        <v>25091749710736</v>
      </c>
      <c r="C150" s="58" t="n"/>
      <c r="D150" s="65" t="n"/>
      <c r="E150" s="62" t="n">
        <v>592270</v>
      </c>
      <c r="F150" s="63" t="inlineStr">
        <is>
          <t xml:space="preserve">Ratan Mondal </t>
        </is>
      </c>
      <c r="G150" s="60" t="n">
        <v>1644863928</v>
      </c>
      <c r="H150" s="61" t="inlineStr">
        <is>
          <t>Madaripur</t>
        </is>
      </c>
      <c r="I150" s="63" t="inlineStr">
        <is>
          <t>Lifestyle</t>
        </is>
      </c>
      <c r="J150" s="63" t="inlineStr">
        <is>
          <t>Tools, DIY  Outdoor</t>
        </is>
      </c>
      <c r="K150" s="62" t="n">
        <v>53</v>
      </c>
      <c r="L150" s="63" t="inlineStr">
        <is>
          <t>40mm Amplifier Knob 40x17mm Aluminium Alloy Potentiometer Knob Amplifier Volume Knob Knurled Shaft 6mm Hole Amplifier Audio Knob Switches Knob</t>
        </is>
      </c>
      <c r="M150" s="63" t="n"/>
      <c r="N150" s="79" t="n"/>
      <c r="O150" s="79" t="n"/>
      <c r="P150" s="79" t="n"/>
      <c r="Q150" s="79" t="n"/>
      <c r="R150" s="79" t="n"/>
      <c r="S150" s="79" t="n"/>
      <c r="T150" s="79" t="n"/>
      <c r="U150" s="79" t="n"/>
      <c r="V150" s="79" t="n"/>
      <c r="W150" s="79" t="n"/>
      <c r="X150" s="79" t="n"/>
      <c r="Y150" s="79" t="n"/>
      <c r="Z150" s="79" t="n"/>
    </row>
    <row r="151">
      <c r="A151" s="63" t="n"/>
      <c r="B151" s="62" t="n">
        <v>25091631959891</v>
      </c>
      <c r="C151" s="58" t="n"/>
      <c r="D151" s="63" t="n"/>
      <c r="E151" s="62" t="n">
        <v>683813</v>
      </c>
      <c r="F151" s="63" t="inlineStr">
        <is>
          <t xml:space="preserve">Mr./Ms. </t>
        </is>
      </c>
      <c r="G151" s="60" t="n">
        <v>1996095274</v>
      </c>
      <c r="H151" s="61" t="inlineStr">
        <is>
          <t>Magura</t>
        </is>
      </c>
      <c r="I151" s="63" t="inlineStr">
        <is>
          <t>Lifestyle</t>
        </is>
      </c>
      <c r="J151" s="63" t="inlineStr">
        <is>
          <t>Motors</t>
        </is>
      </c>
      <c r="K151" s="62" t="n">
        <v>55</v>
      </c>
      <c r="L151" s="63" t="inlineStr">
        <is>
          <t>High Quality Micro Fiber Double Layer Towel for Bike/ Car Cleaning - 30*30cm</t>
        </is>
      </c>
      <c r="M151" s="63" t="n"/>
      <c r="N151" s="79" t="n"/>
      <c r="O151" s="79" t="n"/>
      <c r="P151" s="79" t="n"/>
      <c r="Q151" s="79" t="n"/>
      <c r="R151" s="79" t="n"/>
      <c r="S151" s="79" t="n"/>
      <c r="T151" s="79" t="n"/>
      <c r="U151" s="79" t="n"/>
      <c r="V151" s="79" t="n"/>
      <c r="W151" s="79" t="n"/>
      <c r="X151" s="79" t="n"/>
      <c r="Y151" s="79" t="n"/>
      <c r="Z151" s="79" t="n"/>
    </row>
    <row r="152">
      <c r="A152" s="63" t="n"/>
      <c r="B152" s="62" t="n">
        <v>25091632496388</v>
      </c>
      <c r="C152" s="58" t="n"/>
      <c r="D152" s="63" t="n"/>
      <c r="E152" s="62" t="n">
        <v>691631</v>
      </c>
      <c r="F152" s="63" t="inlineStr">
        <is>
          <t>Mohammad Rana</t>
        </is>
      </c>
      <c r="G152" s="60" t="n">
        <v>1307069801</v>
      </c>
      <c r="H152" s="66" t="inlineStr">
        <is>
          <t>Magura</t>
        </is>
      </c>
      <c r="I152" s="63" t="inlineStr">
        <is>
          <t>Lifestyle</t>
        </is>
      </c>
      <c r="J152" s="63" t="inlineStr">
        <is>
          <t>Furniture  Decor</t>
        </is>
      </c>
      <c r="K152" s="62" t="n">
        <v>175</v>
      </c>
      <c r="L152" s="63" t="inlineStr">
        <is>
          <t>Router Stand Shelf Double Layer Wall Mounted Shelf Home Decorator - Router Stand</t>
        </is>
      </c>
      <c r="M152" s="63" t="n"/>
      <c r="N152" s="79" t="n"/>
      <c r="O152" s="79" t="n"/>
      <c r="P152" s="79" t="n"/>
      <c r="Q152" s="79" t="n"/>
      <c r="R152" s="79" t="n"/>
      <c r="S152" s="79" t="n"/>
      <c r="T152" s="79" t="n"/>
      <c r="U152" s="79" t="n"/>
      <c r="V152" s="79" t="n"/>
      <c r="W152" s="79" t="n"/>
      <c r="X152" s="79" t="n"/>
      <c r="Y152" s="79" t="n"/>
      <c r="Z152" s="79" t="n"/>
    </row>
    <row r="153">
      <c r="A153" s="63" t="n"/>
      <c r="B153" s="62" t="n">
        <v>25091639031149</v>
      </c>
      <c r="C153" s="58" t="n"/>
      <c r="D153" s="65" t="n"/>
      <c r="E153" s="62" t="n">
        <v>485535</v>
      </c>
      <c r="F153" s="63" t="inlineStr">
        <is>
          <t>Monir Hossain Munna</t>
        </is>
      </c>
      <c r="G153" s="60" t="n">
        <v>1779469095</v>
      </c>
      <c r="H153" s="61" t="inlineStr">
        <is>
          <t>Magura</t>
        </is>
      </c>
      <c r="I153" s="63" t="inlineStr">
        <is>
          <t>Lifestyle</t>
        </is>
      </c>
      <c r="J153" s="63" t="inlineStr">
        <is>
          <t>Furniture  Decor</t>
        </is>
      </c>
      <c r="K153" s="62" t="n">
        <v>899</v>
      </c>
      <c r="L153" s="63" t="inlineStr">
        <is>
          <t>Galaxy Projector LED Night Ligh</t>
        </is>
      </c>
      <c r="M153" s="63" t="n"/>
      <c r="N153" s="79" t="n"/>
      <c r="O153" s="79" t="n"/>
      <c r="P153" s="79" t="n"/>
      <c r="Q153" s="79" t="n"/>
      <c r="R153" s="79" t="n"/>
      <c r="S153" s="79" t="n"/>
      <c r="T153" s="79" t="n"/>
      <c r="U153" s="79" t="n"/>
      <c r="V153" s="79" t="n"/>
      <c r="W153" s="79" t="n"/>
      <c r="X153" s="79" t="n"/>
      <c r="Y153" s="79" t="n"/>
      <c r="Z153" s="79" t="n"/>
    </row>
    <row r="154">
      <c r="A154" s="63" t="n"/>
      <c r="B154" s="62" t="n">
        <v>25091641792980</v>
      </c>
      <c r="C154" s="58" t="n"/>
      <c r="D154" s="65" t="n"/>
      <c r="E154" s="62" t="n">
        <v>646983</v>
      </c>
      <c r="F154" s="63" t="inlineStr">
        <is>
          <t>Md Hossainur Rahman</t>
        </is>
      </c>
      <c r="G154" s="60" t="n">
        <v>1711743361</v>
      </c>
      <c r="H154" s="66" t="inlineStr">
        <is>
          <t>Magura</t>
        </is>
      </c>
      <c r="I154" s="63" t="inlineStr">
        <is>
          <t>Lifestyle</t>
        </is>
      </c>
      <c r="J154" s="63" t="inlineStr">
        <is>
          <t>Motors</t>
        </is>
      </c>
      <c r="K154" s="62" t="n">
        <v>246</v>
      </c>
      <c r="L154" s="63" t="inlineStr">
        <is>
          <t>4 Pis universal soft rubber Handle Bar Grip or Grips Cover  for motorcycle- Black</t>
        </is>
      </c>
      <c r="M154" s="63" t="n"/>
      <c r="N154" s="79" t="n"/>
      <c r="O154" s="79" t="n"/>
      <c r="P154" s="79" t="n"/>
      <c r="Q154" s="79" t="n"/>
      <c r="R154" s="79" t="n"/>
      <c r="S154" s="79" t="n"/>
      <c r="T154" s="79" t="n"/>
      <c r="U154" s="79" t="n"/>
      <c r="V154" s="79" t="n"/>
      <c r="W154" s="79" t="n"/>
      <c r="X154" s="79" t="n"/>
      <c r="Y154" s="79" t="n"/>
      <c r="Z154" s="79" t="n"/>
    </row>
    <row r="155">
      <c r="A155" s="63" t="n"/>
      <c r="B155" s="62" t="n">
        <v>25091636691106</v>
      </c>
      <c r="C155" s="58" t="n"/>
      <c r="D155" s="63" t="n"/>
      <c r="E155" s="62" t="n">
        <v>136949</v>
      </c>
      <c r="F155" s="63" t="inlineStr">
        <is>
          <t xml:space="preserve">rubel rana </t>
        </is>
      </c>
      <c r="G155" s="60" t="n">
        <v>1736102150</v>
      </c>
      <c r="H155" s="66" t="inlineStr">
        <is>
          <t>Manikganj</t>
        </is>
      </c>
      <c r="I155" s="63" t="inlineStr">
        <is>
          <t>Fashion</t>
        </is>
      </c>
      <c r="J155" s="63" t="inlineStr">
        <is>
          <t>Watches Sunglasses Jewellery</t>
        </is>
      </c>
      <c r="K155" s="62" t="n">
        <v>117</v>
      </c>
      <c r="L155" s="63" t="inlineStr">
        <is>
          <t>5 in1 Screwdriver Cellphone Watch Repair Mixed Set Tool Kit</t>
        </is>
      </c>
      <c r="M155" s="63" t="n"/>
      <c r="N155" s="79" t="n"/>
      <c r="O155" s="79" t="n"/>
      <c r="P155" s="79" t="n"/>
      <c r="Q155" s="79" t="n"/>
      <c r="R155" s="79" t="n"/>
      <c r="S155" s="79" t="n"/>
      <c r="T155" s="79" t="n"/>
      <c r="U155" s="79" t="n"/>
      <c r="V155" s="79" t="n"/>
      <c r="W155" s="79" t="n"/>
      <c r="X155" s="79" t="n"/>
      <c r="Y155" s="79" t="n"/>
      <c r="Z155" s="79" t="n"/>
    </row>
    <row r="156">
      <c r="A156" s="63" t="n"/>
      <c r="B156" s="62" t="n">
        <v>25091639821715</v>
      </c>
      <c r="C156" s="58" t="n"/>
      <c r="D156" s="65" t="n"/>
      <c r="E156" s="62" t="n">
        <v>691368</v>
      </c>
      <c r="F156" s="63" t="inlineStr">
        <is>
          <t xml:space="preserve">Setu </t>
        </is>
      </c>
      <c r="G156" s="60" t="n">
        <v>1644979875</v>
      </c>
      <c r="H156" s="61" t="inlineStr">
        <is>
          <t>Manikganj</t>
        </is>
      </c>
      <c r="I156" s="63" t="inlineStr">
        <is>
          <t>FMCG</t>
        </is>
      </c>
      <c r="J156" s="63" t="inlineStr">
        <is>
          <t>Groceries</t>
        </is>
      </c>
      <c r="K156" s="62" t="n">
        <v>745</v>
      </c>
      <c r="L156" s="63" t="inlineStr">
        <is>
          <t>Pran Chinigura Rice - 1Kg</t>
        </is>
      </c>
      <c r="M156" s="63" t="n"/>
      <c r="N156" s="79" t="n"/>
      <c r="O156" s="79" t="n"/>
      <c r="P156" s="79" t="n"/>
      <c r="Q156" s="79" t="n"/>
      <c r="R156" s="79" t="n"/>
      <c r="S156" s="79" t="n"/>
      <c r="T156" s="79" t="n"/>
      <c r="U156" s="79" t="n"/>
      <c r="V156" s="79" t="n"/>
      <c r="W156" s="79" t="n"/>
      <c r="X156" s="79" t="n"/>
      <c r="Y156" s="79" t="n"/>
      <c r="Z156" s="79" t="n"/>
    </row>
    <row r="157">
      <c r="A157" s="63" t="n"/>
      <c r="B157" s="62" t="n">
        <v>25091642291572</v>
      </c>
      <c r="C157" s="58" t="n"/>
      <c r="D157" s="65" t="n"/>
      <c r="E157" s="62" t="n">
        <v>39435</v>
      </c>
      <c r="F157" s="63" t="inlineStr">
        <is>
          <t xml:space="preserve">Tanvir Ahmed </t>
        </is>
      </c>
      <c r="G157" s="60" t="n">
        <v>1952046494</v>
      </c>
      <c r="H157" s="61" t="inlineStr">
        <is>
          <t>Manikganj</t>
        </is>
      </c>
      <c r="I157" s="63" t="inlineStr">
        <is>
          <t>FMCG</t>
        </is>
      </c>
      <c r="J157" s="63" t="inlineStr">
        <is>
          <t>Groceries</t>
        </is>
      </c>
      <c r="K157" s="62" t="n">
        <v>1250</v>
      </c>
      <c r="L157" s="63" t="inlineStr">
        <is>
          <t>Starship Full Cream Milk Powder - 1 Kg</t>
        </is>
      </c>
      <c r="M157" s="63" t="n"/>
      <c r="N157" s="79" t="n"/>
      <c r="O157" s="79" t="n"/>
      <c r="P157" s="79" t="n"/>
      <c r="Q157" s="79" t="n"/>
      <c r="R157" s="79" t="n"/>
      <c r="S157" s="79" t="n"/>
      <c r="T157" s="79" t="n"/>
      <c r="U157" s="79" t="n"/>
      <c r="V157" s="79" t="n"/>
      <c r="W157" s="79" t="n"/>
      <c r="X157" s="79" t="n"/>
      <c r="Y157" s="79" t="n"/>
      <c r="Z157" s="79" t="n"/>
    </row>
    <row r="158">
      <c r="A158" s="63" t="n"/>
      <c r="B158" s="62" t="n">
        <v>25091649965597</v>
      </c>
      <c r="C158" s="58" t="n"/>
      <c r="D158" s="65" t="n"/>
      <c r="E158" s="62" t="n">
        <v>136949</v>
      </c>
      <c r="F158" s="63" t="inlineStr">
        <is>
          <t xml:space="preserve">rubel rana </t>
        </is>
      </c>
      <c r="G158" s="60" t="n">
        <v>1736102150</v>
      </c>
      <c r="H158" s="61" t="inlineStr">
        <is>
          <t>Manikganj</t>
        </is>
      </c>
      <c r="I158" s="63" t="inlineStr">
        <is>
          <t>Electronics</t>
        </is>
      </c>
      <c r="J158" s="63" t="inlineStr">
        <is>
          <t>Mobiles  Tablets</t>
        </is>
      </c>
      <c r="K158" s="62" t="n">
        <v>185</v>
      </c>
      <c r="L158" s="63" t="inlineStr">
        <is>
          <t>Original Full Body Casing for Samsung Guru Music 2 Full Complete Mobile Casing / Cashing / Housing with Body &amp; Keypad - Mobile Phone - Phone</t>
        </is>
      </c>
      <c r="M158" s="63" t="n"/>
      <c r="N158" s="79" t="n"/>
      <c r="O158" s="79" t="n"/>
      <c r="P158" s="79" t="n"/>
      <c r="Q158" s="79" t="n"/>
      <c r="R158" s="79" t="n"/>
      <c r="S158" s="79" t="n"/>
      <c r="T158" s="79" t="n"/>
      <c r="U158" s="79" t="n"/>
      <c r="V158" s="79" t="n"/>
      <c r="W158" s="79" t="n"/>
      <c r="X158" s="79" t="n"/>
      <c r="Y158" s="79" t="n"/>
      <c r="Z158" s="79" t="n"/>
    </row>
    <row r="159">
      <c r="A159" s="63" t="n"/>
      <c r="B159" s="62" t="n">
        <v>25091629784544</v>
      </c>
      <c r="C159" s="58" t="n"/>
      <c r="D159" s="63" t="n"/>
      <c r="E159" s="62" t="n">
        <v>693130</v>
      </c>
      <c r="F159" s="63" t="inlineStr">
        <is>
          <t xml:space="preserve">benzir rahib </t>
        </is>
      </c>
      <c r="G159" s="60" t="n">
        <v>1783376894</v>
      </c>
      <c r="H159" s="66" t="inlineStr">
        <is>
          <t>Meherpur</t>
        </is>
      </c>
      <c r="I159" s="63" t="inlineStr">
        <is>
          <t>Fashion</t>
        </is>
      </c>
      <c r="J159" s="63" t="inlineStr">
        <is>
          <t>Watches Sunglasses Jewellery</t>
        </is>
      </c>
      <c r="K159" s="62" t="n">
        <v>500</v>
      </c>
      <c r="L159" s="63" t="inlineStr">
        <is>
          <t xml:space="preserve">Black Arabic Aura Watch </t>
        </is>
      </c>
      <c r="M159" s="63" t="inlineStr">
        <is>
          <t>Not Connected</t>
        </is>
      </c>
      <c r="N159" s="79" t="n"/>
      <c r="O159" s="79" t="n"/>
      <c r="P159" s="79" t="n"/>
      <c r="Q159" s="79" t="n"/>
      <c r="R159" s="79" t="n"/>
      <c r="S159" s="79" t="n"/>
      <c r="T159" s="79" t="n"/>
      <c r="U159" s="79" t="n"/>
      <c r="V159" s="79" t="n"/>
      <c r="W159" s="79" t="n"/>
      <c r="X159" s="79" t="n"/>
      <c r="Y159" s="79" t="n"/>
      <c r="Z159" s="79" t="n"/>
    </row>
    <row r="160">
      <c r="A160" s="63" t="n"/>
      <c r="B160" s="62" t="n">
        <v>25091631282817</v>
      </c>
      <c r="C160" s="58" t="n"/>
      <c r="D160" s="63" t="n"/>
      <c r="E160" s="62" t="n">
        <v>3712</v>
      </c>
      <c r="F160" s="63" t="inlineStr">
        <is>
          <t>Abbas Ahmad</t>
        </is>
      </c>
      <c r="G160" s="60" t="n">
        <v>1738787516</v>
      </c>
      <c r="H160" s="61" t="inlineStr">
        <is>
          <t>Meherpur</t>
        </is>
      </c>
      <c r="I160" s="63" t="inlineStr">
        <is>
          <t>Lifestyle</t>
        </is>
      </c>
      <c r="J160" s="63" t="inlineStr">
        <is>
          <t>Bedding  Bath</t>
        </is>
      </c>
      <c r="K160" s="62" t="n">
        <v>150</v>
      </c>
      <c r="L160" s="63" t="inlineStr">
        <is>
          <t>Magic Moshari/Mosquito Net Premium Quality - Single Size 4ft By 6ft</t>
        </is>
      </c>
      <c r="M160" s="63" t="inlineStr">
        <is>
          <t xml:space="preserve">Connected </t>
        </is>
      </c>
      <c r="N160" s="79" t="inlineStr">
        <is>
          <t>Yes</t>
        </is>
      </c>
      <c r="O160" s="79" t="inlineStr">
        <is>
          <t>On time</t>
        </is>
      </c>
      <c r="P160" s="79" t="n"/>
      <c r="Q160" s="79" t="n"/>
      <c r="R160" s="79" t="inlineStr">
        <is>
          <t>Very polite</t>
        </is>
      </c>
      <c r="S160" s="79" t="inlineStr">
        <is>
          <t>Not Damaged</t>
        </is>
      </c>
      <c r="T160" s="79" t="inlineStr">
        <is>
          <t>Yes</t>
        </is>
      </c>
      <c r="U160" s="79" t="n"/>
      <c r="V160" s="79" t="n"/>
      <c r="W160" s="79" t="n">
        <v>10</v>
      </c>
      <c r="X160" s="79" t="n"/>
      <c r="Y160" s="79" t="inlineStr">
        <is>
          <t>Positive</t>
        </is>
      </c>
      <c r="Z160" s="79" t="n"/>
    </row>
    <row r="161">
      <c r="A161" s="63" t="n"/>
      <c r="B161" s="62" t="n">
        <v>25091646573510</v>
      </c>
      <c r="C161" s="58" t="n"/>
      <c r="D161" s="65" t="n"/>
      <c r="E161" s="62" t="n">
        <v>693130</v>
      </c>
      <c r="F161" s="63" t="inlineStr">
        <is>
          <t xml:space="preserve">benzir rahib </t>
        </is>
      </c>
      <c r="G161" s="60" t="n">
        <v>1783376894</v>
      </c>
      <c r="H161" s="66" t="inlineStr">
        <is>
          <t>Meherpur</t>
        </is>
      </c>
      <c r="I161" s="63" t="inlineStr">
        <is>
          <t>Electronics</t>
        </is>
      </c>
      <c r="J161" s="63" t="inlineStr">
        <is>
          <t>Computers  Laptops</t>
        </is>
      </c>
      <c r="K161" s="62" t="n">
        <v>1116</v>
      </c>
      <c r="L161" s="63" t="inlineStr">
        <is>
          <t xml:space="preserve">One Handed Gaming Keyboard Rgb Backlit 35 Keys Portable Mini Gaming Keyboard and RGB Usb Opticale Mouse combo </t>
        </is>
      </c>
      <c r="M161" s="63" t="n"/>
      <c r="N161" s="79" t="n"/>
      <c r="O161" s="79" t="n"/>
      <c r="P161" s="79" t="n"/>
      <c r="Q161" s="79" t="n"/>
      <c r="R161" s="79" t="n"/>
      <c r="S161" s="79" t="n"/>
      <c r="T161" s="79" t="n"/>
      <c r="U161" s="79" t="n"/>
      <c r="V161" s="79" t="n"/>
      <c r="W161" s="79" t="n"/>
      <c r="X161" s="79" t="n"/>
      <c r="Y161" s="79" t="n"/>
      <c r="Z161" s="79" t="n"/>
    </row>
    <row r="162">
      <c r="A162" s="63" t="n"/>
      <c r="B162" s="62" t="n">
        <v>25091648966540</v>
      </c>
      <c r="C162" s="58" t="n"/>
      <c r="D162" s="65" t="n"/>
      <c r="E162" s="62" t="n">
        <v>691516</v>
      </c>
      <c r="F162" s="63" t="inlineStr">
        <is>
          <t xml:space="preserve">ABU SAYED NISHO </t>
        </is>
      </c>
      <c r="G162" s="60" t="n">
        <v>1910638233</v>
      </c>
      <c r="H162" s="66" t="inlineStr">
        <is>
          <t>Meherpur</t>
        </is>
      </c>
      <c r="I162" s="63" t="inlineStr">
        <is>
          <t>Electronics</t>
        </is>
      </c>
      <c r="J162" s="63" t="inlineStr">
        <is>
          <t>Mobiles  Tablets</t>
        </is>
      </c>
      <c r="K162" s="62" t="n">
        <v>143</v>
      </c>
      <c r="L162" s="63" t="inlineStr">
        <is>
          <t>Ull Cover Back Camera Lens Protector Tempered Glass Film For Iphone 12 Mini</t>
        </is>
      </c>
      <c r="M162" s="63" t="n"/>
      <c r="N162" s="79" t="n"/>
      <c r="O162" s="79" t="n"/>
      <c r="P162" s="79" t="n"/>
      <c r="Q162" s="79" t="n"/>
      <c r="R162" s="79" t="n"/>
      <c r="S162" s="79" t="n"/>
      <c r="T162" s="79" t="n"/>
      <c r="U162" s="79" t="n"/>
      <c r="V162" s="79" t="n"/>
      <c r="W162" s="79" t="n"/>
      <c r="X162" s="79" t="n"/>
      <c r="Y162" s="79" t="n"/>
      <c r="Z162" s="79" t="n"/>
    </row>
    <row r="163">
      <c r="A163" s="63" t="n"/>
      <c r="B163" s="62" t="n">
        <v>25091611215471</v>
      </c>
      <c r="C163" s="67" t="inlineStr">
        <is>
          <t>Mir Ahsan Abid</t>
        </is>
      </c>
      <c r="D163" s="63" t="n"/>
      <c r="E163" s="62" t="n">
        <v>58284</v>
      </c>
      <c r="F163" s="63" t="inlineStr">
        <is>
          <t xml:space="preserve">Mr./Ms. </t>
        </is>
      </c>
      <c r="G163" s="60" t="n">
        <v>1797046260</v>
      </c>
      <c r="H163" s="66" t="inlineStr">
        <is>
          <t>Moulvibazar</t>
        </is>
      </c>
      <c r="I163" s="63" t="inlineStr">
        <is>
          <t>FMCG</t>
        </is>
      </c>
      <c r="J163" s="63" t="inlineStr">
        <is>
          <t>Groceries</t>
        </is>
      </c>
      <c r="K163" s="62" t="n">
        <v>315</v>
      </c>
      <c r="L163" s="63" t="inlineStr">
        <is>
          <t>Green Cardamom (Sobuj Elach) - 50 Gm</t>
        </is>
      </c>
      <c r="M163" s="63" t="inlineStr">
        <is>
          <t xml:space="preserve">Connected </t>
        </is>
      </c>
      <c r="N163" s="79" t="inlineStr">
        <is>
          <t>No</t>
        </is>
      </c>
      <c r="O163" s="79" t="n"/>
      <c r="P163" s="79" t="n"/>
      <c r="Q163" s="79" t="n"/>
      <c r="R163" s="79" t="n"/>
      <c r="S163" s="79" t="n"/>
      <c r="T163" s="79" t="n"/>
      <c r="U163" s="70" t="n"/>
      <c r="V163" s="79" t="n"/>
      <c r="W163" s="79" t="n"/>
      <c r="X163" s="79" t="n"/>
      <c r="Y163" s="79" t="n"/>
      <c r="Z163" s="79" t="n"/>
    </row>
    <row r="164">
      <c r="A164" s="63" t="n"/>
      <c r="B164" s="62" t="n">
        <v>25091613515337</v>
      </c>
      <c r="C164" s="67" t="inlineStr">
        <is>
          <t>Mir Ahsan Abid</t>
        </is>
      </c>
      <c r="D164" s="63" t="n"/>
      <c r="E164" s="62" t="n">
        <v>249958</v>
      </c>
      <c r="F164" s="63" t="inlineStr">
        <is>
          <t xml:space="preserve">Mr./Ms. </t>
        </is>
      </c>
      <c r="G164" s="60" t="n">
        <v>1710942895</v>
      </c>
      <c r="H164" s="66" t="inlineStr">
        <is>
          <t>Moulvibazar</t>
        </is>
      </c>
      <c r="I164" s="63" t="inlineStr">
        <is>
          <t>FMCG</t>
        </is>
      </c>
      <c r="J164" s="63" t="inlineStr">
        <is>
          <t>Groceries</t>
        </is>
      </c>
      <c r="K164" s="62" t="n">
        <v>1250</v>
      </c>
      <c r="L164" s="63" t="inlineStr">
        <is>
          <t>Starship Full Cream Milk Powder - 1 Kg</t>
        </is>
      </c>
      <c r="M164" s="63" t="inlineStr">
        <is>
          <t xml:space="preserve">Connected </t>
        </is>
      </c>
      <c r="N164" s="79" t="inlineStr">
        <is>
          <t>Yes</t>
        </is>
      </c>
      <c r="O164" s="79" t="inlineStr">
        <is>
          <t>On time</t>
        </is>
      </c>
      <c r="P164" s="79" t="n"/>
      <c r="Q164" s="79" t="n"/>
      <c r="R164" s="79" t="inlineStr">
        <is>
          <t>Neutral</t>
        </is>
      </c>
      <c r="S164" s="79" t="inlineStr">
        <is>
          <t>Not Damaged</t>
        </is>
      </c>
      <c r="T164" s="79" t="inlineStr">
        <is>
          <t>No</t>
        </is>
      </c>
      <c r="U164" s="79" t="n"/>
      <c r="V164" s="79" t="n"/>
      <c r="W164" s="79" t="n">
        <v>8</v>
      </c>
      <c r="X164" s="79" t="n"/>
      <c r="Y164" s="79" t="inlineStr">
        <is>
          <t>Neutral</t>
        </is>
      </c>
      <c r="Z164" s="79" t="n"/>
    </row>
    <row r="165">
      <c r="A165" s="63" t="n"/>
      <c r="B165" s="62" t="n">
        <v>25091615338297</v>
      </c>
      <c r="C165" s="67" t="inlineStr">
        <is>
          <t>Mir Ahsan Abid</t>
        </is>
      </c>
      <c r="D165" s="63" t="n"/>
      <c r="E165" s="62" t="n">
        <v>676194</v>
      </c>
      <c r="F165" s="63" t="inlineStr">
        <is>
          <t>Rafsan Jawad</t>
        </is>
      </c>
      <c r="G165" s="60" t="n">
        <v>1756593114</v>
      </c>
      <c r="H165" s="66" t="inlineStr">
        <is>
          <t>Moulvibazar</t>
        </is>
      </c>
      <c r="I165" s="63" t="inlineStr">
        <is>
          <t>Lifestyle</t>
        </is>
      </c>
      <c r="J165" s="63" t="inlineStr">
        <is>
          <t>Sports  Outdoors</t>
        </is>
      </c>
      <c r="K165" s="62" t="n">
        <v>320</v>
      </c>
      <c r="L165" s="63" t="inlineStr">
        <is>
          <t xml:space="preserve"> Portable Mini Strong Light Flashlights USB Rechargeable KeyChain Work Light Outdoor Camping LED Flashlight Waterproof Torch Lamp</t>
        </is>
      </c>
      <c r="M165" s="63" t="inlineStr">
        <is>
          <t xml:space="preserve">Connected </t>
        </is>
      </c>
      <c r="N165" s="79" t="inlineStr">
        <is>
          <t>Yes</t>
        </is>
      </c>
      <c r="O165" s="79" t="inlineStr">
        <is>
          <t>On time</t>
        </is>
      </c>
      <c r="P165" s="79" t="n"/>
      <c r="Q165" s="79" t="n"/>
      <c r="R165" s="79" t="inlineStr">
        <is>
          <t>Very polite</t>
        </is>
      </c>
      <c r="S165" s="79" t="inlineStr">
        <is>
          <t>Not Damaged</t>
        </is>
      </c>
      <c r="T165" s="79" t="inlineStr">
        <is>
          <t>Yes</t>
        </is>
      </c>
      <c r="U165" s="79" t="n"/>
      <c r="V165" s="79" t="n"/>
      <c r="W165" s="79" t="n">
        <v>9</v>
      </c>
      <c r="X165" s="79" t="n"/>
      <c r="Y165" s="79" t="inlineStr">
        <is>
          <t>Positive</t>
        </is>
      </c>
      <c r="Z165" s="79" t="n"/>
    </row>
    <row r="166">
      <c r="A166" s="63" t="n"/>
      <c r="B166" s="62" t="n">
        <v>25091625248108</v>
      </c>
      <c r="C166" s="67" t="inlineStr">
        <is>
          <t>Mir Ahsan Abid</t>
        </is>
      </c>
      <c r="D166" s="63" t="n"/>
      <c r="E166" s="62" t="n">
        <v>551500</v>
      </c>
      <c r="F166" s="63" t="inlineStr">
        <is>
          <t xml:space="preserve">Mr./Ms. </t>
        </is>
      </c>
      <c r="G166" s="60" t="n">
        <v>1712935230</v>
      </c>
      <c r="H166" s="66" t="inlineStr">
        <is>
          <t>Moulvibazar</t>
        </is>
      </c>
      <c r="I166" s="63" t="inlineStr">
        <is>
          <t>Lifestyle</t>
        </is>
      </c>
      <c r="J166" s="63" t="inlineStr">
        <is>
          <t>Tools, DIY  Outdoor</t>
        </is>
      </c>
      <c r="K166" s="62" t="n">
        <v>112</v>
      </c>
      <c r="L166" s="63" t="inlineStr">
        <is>
          <t>Probe Test Leads Pin 10A 1000V for Digital Multimeter Needle Tip Multi Meter Tester Lead Probe Wire Pen Cable</t>
        </is>
      </c>
      <c r="M166" s="63" t="inlineStr">
        <is>
          <t>Not Connected</t>
        </is>
      </c>
      <c r="N166" s="79" t="n"/>
      <c r="O166" s="79" t="n"/>
      <c r="P166" s="79" t="n"/>
      <c r="Q166" s="79" t="n"/>
      <c r="R166" s="79" t="n"/>
      <c r="S166" s="79" t="n"/>
      <c r="T166" s="79" t="n"/>
      <c r="U166" s="79" t="n"/>
      <c r="V166" s="79" t="n"/>
      <c r="W166" s="79" t="n"/>
      <c r="X166" s="79" t="n"/>
      <c r="Y166" s="79" t="n"/>
      <c r="Z166" s="79" t="n"/>
    </row>
    <row r="167">
      <c r="A167" s="63" t="n"/>
      <c r="B167" s="62" t="n">
        <v>25091610839666</v>
      </c>
      <c r="C167" s="67" t="inlineStr">
        <is>
          <t>Mir Ahsan Abid</t>
        </is>
      </c>
      <c r="D167" s="65" t="n"/>
      <c r="E167" s="62" t="n">
        <v>668423</v>
      </c>
      <c r="F167" s="63" t="inlineStr">
        <is>
          <t xml:space="preserve">RZ Mahadi </t>
        </is>
      </c>
      <c r="G167" s="60" t="n">
        <v>1705963886</v>
      </c>
      <c r="H167" s="61" t="inlineStr">
        <is>
          <t>Munsiganj</t>
        </is>
      </c>
      <c r="I167" s="63" t="inlineStr">
        <is>
          <t>Lifestyle</t>
        </is>
      </c>
      <c r="J167" s="63" t="inlineStr">
        <is>
          <t>Motors</t>
        </is>
      </c>
      <c r="K167" s="62" t="n">
        <v>930</v>
      </c>
      <c r="L167" s="63" t="inlineStr">
        <is>
          <t>Motorcycle Horn/ Bike Electric vehicle air horns. PIAA Horn for Motorcycle 2 Pis</t>
        </is>
      </c>
      <c r="M167" s="63" t="inlineStr">
        <is>
          <t xml:space="preserve">Connected </t>
        </is>
      </c>
      <c r="N167" s="79" t="inlineStr">
        <is>
          <t>Yes</t>
        </is>
      </c>
      <c r="O167" s="79" t="inlineStr">
        <is>
          <t>On time</t>
        </is>
      </c>
      <c r="P167" s="79" t="n"/>
      <c r="Q167" s="79" t="n"/>
      <c r="R167" s="79" t="inlineStr">
        <is>
          <t>Neutral</t>
        </is>
      </c>
      <c r="S167" s="79" t="inlineStr">
        <is>
          <t>Damaged</t>
        </is>
      </c>
      <c r="T167" s="79" t="inlineStr">
        <is>
          <t>Didn't check</t>
        </is>
      </c>
      <c r="U167" s="79" t="n"/>
      <c r="V167" s="79" t="n"/>
      <c r="W167" s="79" t="n">
        <v>6</v>
      </c>
      <c r="X167" s="69" t="n"/>
      <c r="Y167" s="79" t="inlineStr">
        <is>
          <t>Neutral</t>
        </is>
      </c>
      <c r="Z167" s="79" t="n"/>
    </row>
    <row r="168">
      <c r="A168" s="63" t="n"/>
      <c r="B168" s="62" t="n">
        <v>25091615751975</v>
      </c>
      <c r="C168" s="67" t="inlineStr">
        <is>
          <t>Mir Ahsan Abid</t>
        </is>
      </c>
      <c r="D168" s="63" t="n"/>
      <c r="E168" s="62" t="n">
        <v>671434</v>
      </c>
      <c r="F168" s="63" t="inlineStr">
        <is>
          <t xml:space="preserve">rakib </t>
        </is>
      </c>
      <c r="G168" s="60" t="n">
        <v>1609626108</v>
      </c>
      <c r="H168" s="66" t="inlineStr">
        <is>
          <t>Munsiganj</t>
        </is>
      </c>
      <c r="I168" s="63" t="inlineStr">
        <is>
          <t>Fashion</t>
        </is>
      </c>
      <c r="J168" s="63" t="inlineStr">
        <is>
          <t>Bags and Travel</t>
        </is>
      </c>
      <c r="K168" s="62" t="n">
        <v>790</v>
      </c>
      <c r="L168" s="63" t="inlineStr">
        <is>
          <t>Women fashion tote sidebag Shoulder oven Large Capacity Shoulder Bags</t>
        </is>
      </c>
      <c r="M168" s="63" t="inlineStr">
        <is>
          <t>Not Connected</t>
        </is>
      </c>
      <c r="N168" s="79" t="n"/>
      <c r="O168" s="79" t="n"/>
      <c r="P168" s="79" t="n"/>
      <c r="Q168" s="79" t="n"/>
      <c r="R168" s="79" t="n"/>
      <c r="S168" s="79" t="n"/>
      <c r="T168" s="79" t="n"/>
      <c r="U168" s="79" t="n"/>
      <c r="V168" s="79" t="n"/>
      <c r="W168" s="79" t="n"/>
      <c r="X168" s="79" t="n"/>
      <c r="Y168" s="79" t="n"/>
      <c r="Z168" s="79" t="n"/>
    </row>
    <row r="169">
      <c r="A169" s="63" t="n"/>
      <c r="B169" s="62" t="n">
        <v>25091642461654</v>
      </c>
      <c r="C169" s="58" t="n"/>
      <c r="D169" s="65" t="n"/>
      <c r="E169" s="62" t="n">
        <v>633897</v>
      </c>
      <c r="F169" s="63" t="inlineStr">
        <is>
          <t xml:space="preserve">Chandra Bala </t>
        </is>
      </c>
      <c r="G169" s="60" t="n">
        <v>1869512751</v>
      </c>
      <c r="H169" s="61" t="inlineStr">
        <is>
          <t>Munsiganj</t>
        </is>
      </c>
      <c r="I169" s="63" t="inlineStr">
        <is>
          <t>FMCG</t>
        </is>
      </c>
      <c r="J169" s="63" t="inlineStr">
        <is>
          <t>Groceries</t>
        </is>
      </c>
      <c r="K169" s="62" t="n">
        <v>494</v>
      </c>
      <c r="L169" s="63" t="inlineStr">
        <is>
          <t>Magnetic Window Cleaner Double Side Window Cleaning Tool Magnetic Glass Cleaner for 20-30MM Double Layer Windows Anti Drop Scratch Free for High House Office Glass Windows</t>
        </is>
      </c>
      <c r="M169" s="63" t="n"/>
      <c r="N169" s="79" t="n"/>
      <c r="O169" s="79" t="n"/>
      <c r="P169" s="79" t="n"/>
      <c r="Q169" s="79" t="n"/>
      <c r="R169" s="79" t="n"/>
      <c r="S169" s="79" t="n"/>
      <c r="T169" s="79" t="n"/>
      <c r="U169" s="79" t="n"/>
      <c r="V169" s="79" t="n"/>
      <c r="W169" s="79" t="n"/>
      <c r="X169" s="79" t="n"/>
      <c r="Y169" s="79" t="n"/>
      <c r="Z169" s="79" t="n"/>
    </row>
    <row r="170">
      <c r="A170" s="63" t="n"/>
      <c r="B170" s="62" t="n">
        <v>25091653479028</v>
      </c>
      <c r="C170" s="58" t="n"/>
      <c r="D170" s="65" t="n"/>
      <c r="E170" s="62" t="n">
        <v>22934</v>
      </c>
      <c r="F170" s="63" t="inlineStr">
        <is>
          <t xml:space="preserve">Md Hafizur Rahman </t>
        </is>
      </c>
      <c r="G170" s="60" t="n">
        <v>1960604464</v>
      </c>
      <c r="H170" s="66" t="inlineStr">
        <is>
          <t>Munsiganj</t>
        </is>
      </c>
      <c r="I170" s="63" t="inlineStr">
        <is>
          <t>Lifestyle</t>
        </is>
      </c>
      <c r="J170" s="63" t="inlineStr">
        <is>
          <t>Kitchen  Dining</t>
        </is>
      </c>
      <c r="K170" s="62" t="n">
        <v>480</v>
      </c>
      <c r="L170" s="63" t="inlineStr">
        <is>
          <t>First Deal Best Quality Digital Scale 10kg 1g Household Weight Scales Platform Electronic Balance Kitchen scale Baking Measure Food Cooking Tools</t>
        </is>
      </c>
      <c r="M170" s="63" t="n"/>
      <c r="N170" s="79" t="n"/>
      <c r="O170" s="79" t="n"/>
      <c r="P170" s="79" t="n"/>
      <c r="Q170" s="79" t="n"/>
      <c r="R170" s="79" t="n"/>
      <c r="S170" s="79" t="n"/>
      <c r="T170" s="79" t="n"/>
      <c r="U170" s="79" t="n"/>
      <c r="V170" s="79" t="n"/>
      <c r="W170" s="79" t="n"/>
      <c r="X170" s="79" t="n"/>
      <c r="Y170" s="79" t="n"/>
      <c r="Z170" s="79" t="n"/>
    </row>
    <row r="171">
      <c r="A171" s="63" t="n"/>
      <c r="B171" s="62" t="n">
        <v>25091617850608</v>
      </c>
      <c r="C171" s="67" t="inlineStr">
        <is>
          <t>Mir Ahsan Abid</t>
        </is>
      </c>
      <c r="D171" s="63" t="n"/>
      <c r="E171" s="62" t="n">
        <v>383425</v>
      </c>
      <c r="F171" s="63" t="inlineStr">
        <is>
          <t xml:space="preserve">Jakaria Hossain </t>
        </is>
      </c>
      <c r="G171" s="60" t="n">
        <v>1907195453</v>
      </c>
      <c r="H171" s="66" t="inlineStr">
        <is>
          <t>Mymensingh</t>
        </is>
      </c>
      <c r="I171" s="63" t="inlineStr">
        <is>
          <t>Lifestyle</t>
        </is>
      </c>
      <c r="J171" s="63" t="inlineStr">
        <is>
          <t>Kitchen  Dining</t>
        </is>
      </c>
      <c r="K171" s="62" t="n">
        <v>162</v>
      </c>
      <c r="L171" s="63" t="inlineStr">
        <is>
          <t>Tea And Kata/Fork Spoon 24 pieces Set - kitchen accessories</t>
        </is>
      </c>
      <c r="M171" s="63" t="inlineStr">
        <is>
          <t>Not Connected</t>
        </is>
      </c>
      <c r="N171" s="79" t="n"/>
      <c r="O171" s="79" t="n"/>
      <c r="P171" s="79" t="n"/>
      <c r="Q171" s="79" t="n"/>
      <c r="R171" s="79" t="n"/>
      <c r="S171" s="79" t="n"/>
      <c r="T171" s="79" t="n"/>
      <c r="U171" s="79" t="n"/>
      <c r="V171" s="79" t="n"/>
      <c r="W171" s="79" t="n"/>
      <c r="X171" s="79" t="n"/>
      <c r="Y171" s="79" t="n"/>
      <c r="Z171" s="79" t="n"/>
    </row>
    <row r="172">
      <c r="A172" s="63" t="n"/>
      <c r="B172" s="62" t="n">
        <v>25091618544562</v>
      </c>
      <c r="C172" s="67" t="inlineStr">
        <is>
          <t>Mir Ahsan Abid</t>
        </is>
      </c>
      <c r="D172" s="63" t="n"/>
      <c r="E172" s="62" t="n">
        <v>162326</v>
      </c>
      <c r="F172" s="63" t="inlineStr">
        <is>
          <t xml:space="preserve">Abdul Wahid </t>
        </is>
      </c>
      <c r="G172" s="60" t="n">
        <v>1785249888</v>
      </c>
      <c r="H172" s="61" t="inlineStr">
        <is>
          <t>Mymensingh</t>
        </is>
      </c>
      <c r="I172" s="63" t="inlineStr">
        <is>
          <t>Electronics</t>
        </is>
      </c>
      <c r="J172" s="63" t="inlineStr">
        <is>
          <t>Mobiles  Tablets</t>
        </is>
      </c>
      <c r="K172" s="62" t="n">
        <v>364</v>
      </c>
      <c r="L172" s="63" t="inlineStr">
        <is>
          <t>Baseus Cafule USB Type C Cable 2 Meter 2A QC 3.0 Nylon Braided Gray-Black</t>
        </is>
      </c>
      <c r="M172" s="63" t="inlineStr">
        <is>
          <t>Not Connected</t>
        </is>
      </c>
      <c r="N172" s="79" t="n"/>
      <c r="O172" s="79" t="n"/>
      <c r="P172" s="79" t="n"/>
      <c r="Q172" s="79" t="n"/>
      <c r="R172" s="79" t="n"/>
      <c r="S172" s="79" t="n"/>
      <c r="T172" s="79" t="n"/>
      <c r="U172" s="79" t="n"/>
      <c r="V172" s="79" t="n"/>
      <c r="W172" s="79" t="n"/>
      <c r="X172" s="79" t="n"/>
      <c r="Y172" s="79" t="n"/>
      <c r="Z172" s="79" t="n"/>
    </row>
    <row r="173">
      <c r="A173" s="63" t="n"/>
      <c r="B173" s="62" t="n">
        <v>25091624300953</v>
      </c>
      <c r="C173" s="67" t="inlineStr">
        <is>
          <t>Mir Ahsan Abid</t>
        </is>
      </c>
      <c r="D173" s="63" t="n"/>
      <c r="E173" s="62" t="n">
        <v>638065</v>
      </c>
      <c r="F173" s="63" t="inlineStr">
        <is>
          <t xml:space="preserve">Mr./Ms. </t>
        </is>
      </c>
      <c r="G173" s="60" t="n">
        <v>1400615979</v>
      </c>
      <c r="H173" s="66" t="inlineStr">
        <is>
          <t>Mymensingh</t>
        </is>
      </c>
      <c r="I173" s="63" t="inlineStr">
        <is>
          <t>Lifestyle</t>
        </is>
      </c>
      <c r="J173" s="63" t="inlineStr">
        <is>
          <t>Furniture  Decor</t>
        </is>
      </c>
      <c r="K173" s="62" t="n">
        <v>228</v>
      </c>
      <c r="L173" s="63" t="inlineStr">
        <is>
          <t>Artificial Hanging Vines Plant - 7 feet - artificial flower leaf</t>
        </is>
      </c>
      <c r="M173" s="63" t="inlineStr">
        <is>
          <t>Not Connected</t>
        </is>
      </c>
      <c r="N173" s="79" t="n"/>
      <c r="O173" s="79" t="n"/>
      <c r="P173" s="79" t="n"/>
      <c r="Q173" s="79" t="n"/>
      <c r="R173" s="79" t="n"/>
      <c r="S173" s="79" t="n"/>
      <c r="T173" s="79" t="n"/>
      <c r="U173" s="79" t="n"/>
      <c r="V173" s="79" t="n"/>
      <c r="W173" s="79" t="n"/>
      <c r="X173" s="79" t="n"/>
      <c r="Y173" s="79" t="n"/>
      <c r="Z173" s="79" t="n"/>
    </row>
    <row r="174">
      <c r="A174" s="63" t="n"/>
      <c r="B174" s="62" t="n">
        <v>25091628778330</v>
      </c>
      <c r="C174" s="58" t="n"/>
      <c r="D174" s="63" t="n"/>
      <c r="E174" s="62" t="n">
        <v>662727</v>
      </c>
      <c r="F174" s="63" t="inlineStr">
        <is>
          <t xml:space="preserve">Mr./Ms. </t>
        </is>
      </c>
      <c r="G174" s="60" t="n">
        <v>1606653519</v>
      </c>
      <c r="H174" s="66" t="inlineStr">
        <is>
          <t>Mymensingh</t>
        </is>
      </c>
      <c r="I174" s="63" t="inlineStr">
        <is>
          <t>FMCG</t>
        </is>
      </c>
      <c r="J174" s="63" t="inlineStr">
        <is>
          <t>Health  Beauty</t>
        </is>
      </c>
      <c r="K174" s="62" t="n">
        <v>854</v>
      </c>
      <c r="L174" s="63" t="inlineStr">
        <is>
          <t xml:space="preserve">  Anua Niacinamide 10% + TXA 4% Dark Spot Correcting Serum 30ml</t>
        </is>
      </c>
      <c r="M174" s="63" t="inlineStr">
        <is>
          <t>Not Connected</t>
        </is>
      </c>
      <c r="N174" s="79" t="n"/>
      <c r="O174" s="79" t="n"/>
      <c r="P174" s="79" t="n"/>
      <c r="Q174" s="79" t="n"/>
      <c r="R174" s="79" t="n"/>
      <c r="S174" s="79" t="n"/>
      <c r="T174" s="79" t="n"/>
      <c r="U174" s="79" t="n"/>
      <c r="V174" s="79" t="n"/>
      <c r="W174" s="79" t="n"/>
      <c r="X174" s="79" t="n"/>
      <c r="Y174" s="79" t="n"/>
      <c r="Z174" s="79" t="n"/>
    </row>
    <row r="175">
      <c r="A175" s="63" t="n"/>
      <c r="B175" s="62" t="n">
        <v>25091617611513</v>
      </c>
      <c r="C175" s="67" t="inlineStr">
        <is>
          <t>Mir Ahsan Abid</t>
        </is>
      </c>
      <c r="D175" s="63" t="n"/>
      <c r="E175" s="62" t="n">
        <v>652751</v>
      </c>
      <c r="F175" s="63" t="inlineStr">
        <is>
          <t xml:space="preserve">S M Imrul kayes </t>
        </is>
      </c>
      <c r="G175" s="60" t="n">
        <v>1727742087</v>
      </c>
      <c r="H175" s="66" t="inlineStr">
        <is>
          <t>Naogaon</t>
        </is>
      </c>
      <c r="I175" s="63" t="inlineStr">
        <is>
          <t>Electronics</t>
        </is>
      </c>
      <c r="J175" s="63" t="inlineStr">
        <is>
          <t>TV, Audio / Video, Gaming  Wearables</t>
        </is>
      </c>
      <c r="K175" s="62" t="n">
        <v>420</v>
      </c>
      <c r="L175" s="63" t="inlineStr">
        <is>
          <t>Realme Earbuds Air Pro Wireless Earbuds MultiTouch Function TWS Wireless</t>
        </is>
      </c>
      <c r="M175" s="63" t="inlineStr">
        <is>
          <t xml:space="preserve">Connected </t>
        </is>
      </c>
      <c r="N175" s="79" t="inlineStr">
        <is>
          <t>Yes</t>
        </is>
      </c>
      <c r="O175" s="79" t="inlineStr">
        <is>
          <t>On time</t>
        </is>
      </c>
      <c r="P175" s="79" t="n"/>
      <c r="Q175" s="79" t="n"/>
      <c r="R175" s="79" t="inlineStr">
        <is>
          <t>Very polite</t>
        </is>
      </c>
      <c r="S175" s="79" t="inlineStr">
        <is>
          <t>Not Damaged</t>
        </is>
      </c>
      <c r="T175" s="79" t="inlineStr">
        <is>
          <t>Yes</t>
        </is>
      </c>
      <c r="U175" s="79" t="n"/>
      <c r="V175" s="79" t="n"/>
      <c r="W175" s="79" t="n">
        <v>9</v>
      </c>
      <c r="X175" s="79" t="n"/>
      <c r="Y175" s="79" t="n"/>
      <c r="Z175" s="79" t="n"/>
    </row>
    <row r="176">
      <c r="A176" s="63" t="n"/>
      <c r="B176" s="62" t="n">
        <v>25091618011818</v>
      </c>
      <c r="C176" s="67" t="inlineStr">
        <is>
          <t>Mir Ahsan Abid</t>
        </is>
      </c>
      <c r="D176" s="63" t="n"/>
      <c r="E176" s="62" t="n">
        <v>688266</v>
      </c>
      <c r="F176" s="63" t="inlineStr">
        <is>
          <t>Md Monirul Islam</t>
        </is>
      </c>
      <c r="G176" s="60" t="n">
        <v>1719115722</v>
      </c>
      <c r="H176" s="61" t="inlineStr">
        <is>
          <t>Naogaon</t>
        </is>
      </c>
      <c r="I176" s="63" t="inlineStr">
        <is>
          <t>Electronics</t>
        </is>
      </c>
      <c r="J176" s="63" t="inlineStr">
        <is>
          <t>TV, Audio / Video, Gaming  Wearables</t>
        </is>
      </c>
      <c r="K176" s="62" t="n">
        <v>1700</v>
      </c>
      <c r="L176" s="63" t="inlineStr">
        <is>
          <t>TX60 Pro 14K Ultra HD Smart Android TV Box</t>
        </is>
      </c>
      <c r="M176" s="63" t="inlineStr">
        <is>
          <t>Not Connected</t>
        </is>
      </c>
      <c r="N176" s="79" t="n"/>
      <c r="O176" s="79" t="n"/>
      <c r="P176" s="79" t="n"/>
      <c r="Q176" s="79" t="n"/>
      <c r="R176" s="79" t="n"/>
      <c r="S176" s="79" t="n"/>
      <c r="T176" s="79" t="n"/>
      <c r="U176" s="79" t="n"/>
      <c r="V176" s="79" t="n"/>
      <c r="W176" s="79" t="n"/>
      <c r="X176" s="79" t="n"/>
      <c r="Y176" s="79" t="n"/>
      <c r="Z176" s="79" t="n"/>
    </row>
    <row r="177">
      <c r="A177" s="63" t="n"/>
      <c r="B177" s="62" t="n">
        <v>25091712724557</v>
      </c>
      <c r="C177" s="58" t="n"/>
      <c r="D177" s="65" t="n"/>
      <c r="E177" s="62" t="n">
        <v>258644</v>
      </c>
      <c r="F177" s="63" t="inlineStr">
        <is>
          <t>Samaira Islam</t>
        </is>
      </c>
      <c r="G177" s="60" t="n">
        <v>1725451862</v>
      </c>
      <c r="H177" s="61" t="inlineStr">
        <is>
          <t>Naogaon</t>
        </is>
      </c>
      <c r="I177" s="63" t="inlineStr">
        <is>
          <t>FMCG</t>
        </is>
      </c>
      <c r="J177" s="63" t="inlineStr">
        <is>
          <t>Groceries</t>
        </is>
      </c>
      <c r="K177" s="62" t="n">
        <v>74</v>
      </c>
      <c r="L177" s="63" t="inlineStr">
        <is>
          <t>Radhuni Garam Masala - 40gm</t>
        </is>
      </c>
      <c r="M177" s="63" t="n"/>
      <c r="N177" s="79" t="n"/>
      <c r="O177" s="79" t="n"/>
      <c r="P177" s="79" t="n"/>
      <c r="Q177" s="79" t="n"/>
      <c r="R177" s="79" t="n"/>
      <c r="S177" s="79" t="n"/>
      <c r="T177" s="79" t="n"/>
      <c r="U177" s="79" t="n"/>
      <c r="V177" s="79" t="n"/>
      <c r="W177" s="79" t="n"/>
      <c r="X177" s="79" t="n"/>
      <c r="Y177" s="79" t="n"/>
      <c r="Z177" s="79" t="n"/>
    </row>
    <row r="178">
      <c r="A178" s="63" t="n"/>
      <c r="B178" s="62" t="n">
        <v>25091719068396</v>
      </c>
      <c r="C178" s="58" t="n"/>
      <c r="D178" s="65" t="n"/>
      <c r="E178" s="62" t="n">
        <v>687930</v>
      </c>
      <c r="F178" s="63" t="inlineStr">
        <is>
          <t xml:space="preserve">Md Romim Ahmed </t>
        </is>
      </c>
      <c r="G178" s="60" t="n">
        <v>1730468853</v>
      </c>
      <c r="H178" s="61" t="inlineStr">
        <is>
          <t>Naogaon</t>
        </is>
      </c>
      <c r="I178" s="63" t="inlineStr">
        <is>
          <t>Lifestyle</t>
        </is>
      </c>
      <c r="J178" s="63" t="inlineStr">
        <is>
          <t>Toys  Games</t>
        </is>
      </c>
      <c r="K178" s="62" t="n">
        <v>182</v>
      </c>
      <c r="L178" s="63" t="inlineStr">
        <is>
          <t>Metal Fidget Spinner Spinner Toy Captain America Shield By Dhaka Shopping Zone</t>
        </is>
      </c>
      <c r="M178" s="63" t="n"/>
      <c r="N178" s="79" t="n"/>
      <c r="O178" s="79" t="n"/>
      <c r="P178" s="79" t="n"/>
      <c r="Q178" s="79" t="n"/>
      <c r="R178" s="79" t="n"/>
      <c r="S178" s="79" t="n"/>
      <c r="T178" s="79" t="n"/>
      <c r="U178" s="79" t="n"/>
      <c r="V178" s="79" t="n"/>
      <c r="W178" s="79" t="n"/>
      <c r="X178" s="79" t="n"/>
      <c r="Y178" s="79" t="n"/>
      <c r="Z178" s="79" t="n"/>
    </row>
    <row r="179">
      <c r="A179" s="63" t="n"/>
      <c r="B179" s="62" t="n">
        <v>25091611890256</v>
      </c>
      <c r="C179" s="67" t="inlineStr">
        <is>
          <t>Mir Ahsan Abid</t>
        </is>
      </c>
      <c r="D179" s="63" t="n"/>
      <c r="E179" s="62" t="n">
        <v>665742</v>
      </c>
      <c r="F179" s="63" t="inlineStr">
        <is>
          <t xml:space="preserve">Mr./Ms. </t>
        </is>
      </c>
      <c r="G179" s="60" t="n">
        <v>1761896869</v>
      </c>
      <c r="H179" s="61" t="inlineStr">
        <is>
          <t>Narail</t>
        </is>
      </c>
      <c r="I179" s="63" t="inlineStr">
        <is>
          <t>Fashion</t>
        </is>
      </c>
      <c r="J179" s="63" t="inlineStr">
        <is>
          <t>Bags and Travel</t>
        </is>
      </c>
      <c r="K179" s="62" t="n">
        <v>316</v>
      </c>
      <c r="L179" s="63" t="inlineStr">
        <is>
          <t>Avro Premium Men's High Quality 100% Cow Leather Coin Pocket Black Wallet For Men Elegant And Comfortable Stylish Export Quality Money Bag For Men 100% Cow Leather Short Wallet Fashion Vintage Wallet Casual Male Wallet Multi-Card Slot Wallet For Man</t>
        </is>
      </c>
      <c r="M179" s="63" t="inlineStr">
        <is>
          <t xml:space="preserve">Connected </t>
        </is>
      </c>
      <c r="N179" s="79" t="inlineStr">
        <is>
          <t>Yes</t>
        </is>
      </c>
      <c r="O179" s="79" t="inlineStr">
        <is>
          <t>On time</t>
        </is>
      </c>
      <c r="P179" s="79" t="n"/>
      <c r="Q179" s="79" t="n"/>
      <c r="R179" s="79" t="inlineStr">
        <is>
          <t>Very polite</t>
        </is>
      </c>
      <c r="S179" s="79" t="inlineStr">
        <is>
          <t>Not Damaged</t>
        </is>
      </c>
      <c r="T179" s="79" t="inlineStr">
        <is>
          <t>Yes</t>
        </is>
      </c>
      <c r="U179" s="79" t="n"/>
      <c r="V179" s="79" t="n"/>
      <c r="W179" s="79" t="n">
        <v>7</v>
      </c>
      <c r="X179" s="79" t="n"/>
      <c r="Y179" s="79" t="inlineStr">
        <is>
          <t>Neutral</t>
        </is>
      </c>
      <c r="Z179" s="79" t="n"/>
    </row>
    <row r="180">
      <c r="A180" s="63" t="n"/>
      <c r="B180" s="62" t="n">
        <v>25091723874456</v>
      </c>
      <c r="C180" s="58" t="n"/>
      <c r="D180" s="65" t="n"/>
      <c r="E180" s="62" t="n">
        <v>62153</v>
      </c>
      <c r="F180" s="63" t="inlineStr">
        <is>
          <t>Debashish Biswas Ashish</t>
        </is>
      </c>
      <c r="G180" s="60" t="n">
        <v>1916673646</v>
      </c>
      <c r="H180" s="61" t="inlineStr">
        <is>
          <t>Narail</t>
        </is>
      </c>
      <c r="I180" s="63" t="inlineStr">
        <is>
          <t>Fashion</t>
        </is>
      </c>
      <c r="J180" s="63" t="inlineStr">
        <is>
          <t>Bags and Travel</t>
        </is>
      </c>
      <c r="K180" s="62" t="n">
        <v>799</v>
      </c>
      <c r="L180" s="63" t="inlineStr">
        <is>
          <t>High Quality Travel Bag Big Size Waterproof &amp; Washable</t>
        </is>
      </c>
      <c r="M180" s="63" t="n"/>
      <c r="N180" s="79" t="n"/>
      <c r="O180" s="79" t="n"/>
      <c r="P180" s="79" t="n"/>
      <c r="Q180" s="79" t="n"/>
      <c r="R180" s="79" t="n"/>
      <c r="S180" s="79" t="n"/>
      <c r="T180" s="79" t="n"/>
      <c r="U180" s="79" t="n"/>
      <c r="V180" s="79" t="n"/>
      <c r="W180" s="79" t="n"/>
      <c r="X180" s="79" t="n"/>
      <c r="Y180" s="79" t="n"/>
      <c r="Z180" s="79" t="n"/>
    </row>
    <row r="181">
      <c r="A181" s="63" t="n"/>
      <c r="B181" s="62" t="n">
        <v>25091877951502</v>
      </c>
      <c r="C181" s="58" t="n"/>
      <c r="D181" s="65" t="n"/>
      <c r="E181" s="62" t="n">
        <v>569067</v>
      </c>
      <c r="F181" s="63" t="inlineStr">
        <is>
          <t>Rubel Ahmed sk</t>
        </is>
      </c>
      <c r="G181" s="60" t="n">
        <v>1911616452</v>
      </c>
      <c r="H181" s="61" t="inlineStr">
        <is>
          <t>Narail</t>
        </is>
      </c>
      <c r="I181" s="63" t="inlineStr">
        <is>
          <t>FMCG</t>
        </is>
      </c>
      <c r="J181" s="63" t="inlineStr">
        <is>
          <t>Health  Beauty</t>
        </is>
      </c>
      <c r="K181" s="62" t="n">
        <v>480</v>
      </c>
      <c r="L181" s="63" t="inlineStr">
        <is>
          <t>Bioaqua Papaya Body Cream</t>
        </is>
      </c>
      <c r="M181" s="63" t="n"/>
      <c r="N181" s="79" t="n"/>
      <c r="O181" s="79" t="n"/>
      <c r="P181" s="79" t="n"/>
      <c r="Q181" s="79" t="n"/>
      <c r="R181" s="79" t="n"/>
      <c r="S181" s="79" t="n"/>
      <c r="T181" s="79" t="n"/>
      <c r="U181" s="79" t="n"/>
      <c r="V181" s="79" t="n"/>
      <c r="W181" s="79" t="n"/>
      <c r="X181" s="79" t="n"/>
      <c r="Y181" s="79" t="n"/>
      <c r="Z181" s="79" t="n"/>
    </row>
    <row r="182">
      <c r="A182" s="63" t="n"/>
      <c r="B182" s="62" t="n">
        <v>25091927331221</v>
      </c>
      <c r="C182" s="58" t="n"/>
      <c r="D182" s="65" t="n"/>
      <c r="E182" s="62" t="n">
        <v>596179</v>
      </c>
      <c r="F182" s="63" t="inlineStr">
        <is>
          <t xml:space="preserve">Sumon Tariqul </t>
        </is>
      </c>
      <c r="G182" s="60" t="n">
        <v>1940254155</v>
      </c>
      <c r="H182" s="61" t="inlineStr">
        <is>
          <t>Narail</t>
        </is>
      </c>
      <c r="I182" s="63" t="inlineStr">
        <is>
          <t>Lifestyle</t>
        </is>
      </c>
      <c r="J182" s="63" t="inlineStr">
        <is>
          <t>Motors</t>
        </is>
      </c>
      <c r="K182" s="62" t="n">
        <v>183</v>
      </c>
      <c r="L182" s="63" t="inlineStr">
        <is>
          <t>Hero License  Plate Frame 2 Part Golden Colour For All Hero Motorcycle</t>
        </is>
      </c>
      <c r="M182" s="63" t="n"/>
      <c r="N182" s="79" t="n"/>
      <c r="O182" s="79" t="n"/>
      <c r="P182" s="79" t="n"/>
      <c r="Q182" s="79" t="n"/>
      <c r="R182" s="79" t="n"/>
      <c r="S182" s="79" t="n"/>
      <c r="T182" s="79" t="n"/>
      <c r="U182" s="79" t="n"/>
      <c r="V182" s="79" t="n"/>
      <c r="W182" s="79" t="n"/>
      <c r="X182" s="79" t="n"/>
      <c r="Y182" s="79" t="n"/>
      <c r="Z182" s="79" t="n"/>
    </row>
    <row r="183">
      <c r="A183" s="63" t="n"/>
      <c r="B183" s="62" t="n">
        <v>25091611880978</v>
      </c>
      <c r="C183" s="67" t="inlineStr">
        <is>
          <t>Mir Ahsan Abid</t>
        </is>
      </c>
      <c r="D183" s="63" t="n"/>
      <c r="E183" s="62" t="n">
        <v>80076</v>
      </c>
      <c r="F183" s="63" t="inlineStr">
        <is>
          <t>Shabuj Das</t>
        </is>
      </c>
      <c r="G183" s="60" t="n">
        <v>1515603739</v>
      </c>
      <c r="H183" s="61" t="inlineStr">
        <is>
          <t>Narayanganj</t>
        </is>
      </c>
      <c r="I183" s="63" t="inlineStr">
        <is>
          <t>Electronics</t>
        </is>
      </c>
      <c r="J183" s="63" t="inlineStr">
        <is>
          <t>TV, Audio / Video, Gaming  Wearables</t>
        </is>
      </c>
      <c r="K183" s="62" t="n">
        <v>210</v>
      </c>
      <c r="L183" s="63" t="inlineStr">
        <is>
          <t>Realme Earbuds Air Pro Wireless Earbuds MultiTouch Function TWS Wireless</t>
        </is>
      </c>
      <c r="M183" s="63" t="inlineStr">
        <is>
          <t xml:space="preserve">Connected </t>
        </is>
      </c>
      <c r="N183" s="79" t="inlineStr">
        <is>
          <t>No</t>
        </is>
      </c>
      <c r="O183" s="79" t="n"/>
      <c r="P183" s="79" t="n"/>
      <c r="Q183" s="79" t="n"/>
      <c r="R183" s="79" t="n"/>
      <c r="S183" s="79" t="n"/>
      <c r="T183" s="79" t="n"/>
      <c r="U183" s="79" t="n"/>
      <c r="V183" s="79" t="n"/>
      <c r="W183" s="79" t="n"/>
      <c r="X183" s="79" t="n"/>
      <c r="Y183" s="79" t="n"/>
      <c r="Z183" s="79" t="n"/>
    </row>
    <row r="184">
      <c r="A184" s="63" t="n"/>
      <c r="B184" s="62" t="n">
        <v>25091618220147</v>
      </c>
      <c r="C184" s="67" t="inlineStr">
        <is>
          <t>Mir Ahsan Abid</t>
        </is>
      </c>
      <c r="D184" s="63" t="n"/>
      <c r="E184" s="62" t="n">
        <v>672961</v>
      </c>
      <c r="F184" s="63" t="inlineStr">
        <is>
          <t xml:space="preserve">Abdus sattar bijoy </t>
        </is>
      </c>
      <c r="G184" s="60" t="n">
        <v>1889111934</v>
      </c>
      <c r="H184" s="61" t="inlineStr">
        <is>
          <t>Narayanganj</t>
        </is>
      </c>
      <c r="I184" s="63" t="inlineStr">
        <is>
          <t>FMCG</t>
        </is>
      </c>
      <c r="J184" s="63" t="inlineStr">
        <is>
          <t>Health  Beauty</t>
        </is>
      </c>
      <c r="K184" s="62" t="n">
        <v>63</v>
      </c>
      <c r="L184" s="63" t="inlineStr">
        <is>
          <t>Parachute SkinPure Petroleum Jelly 15ml</t>
        </is>
      </c>
      <c r="M184" s="63" t="inlineStr">
        <is>
          <t xml:space="preserve">Connected </t>
        </is>
      </c>
      <c r="N184" s="79" t="inlineStr">
        <is>
          <t>Yes</t>
        </is>
      </c>
      <c r="O184" s="79" t="inlineStr">
        <is>
          <t>On time</t>
        </is>
      </c>
      <c r="P184" s="79" t="n"/>
      <c r="Q184" s="79" t="n"/>
      <c r="R184" s="79" t="inlineStr">
        <is>
          <t>Neutral</t>
        </is>
      </c>
      <c r="S184" s="79" t="inlineStr">
        <is>
          <t>Not Damaged</t>
        </is>
      </c>
      <c r="T184" s="79" t="inlineStr">
        <is>
          <t>Didn't check</t>
        </is>
      </c>
      <c r="U184" s="79" t="n"/>
      <c r="V184" s="79" t="n"/>
      <c r="W184" s="79" t="n">
        <v>9</v>
      </c>
      <c r="X184" s="79" t="n"/>
      <c r="Y184" s="79" t="inlineStr">
        <is>
          <t>Neutral</t>
        </is>
      </c>
      <c r="Z184" s="79" t="n"/>
    </row>
    <row r="185">
      <c r="A185" s="63" t="n"/>
      <c r="B185" s="62" t="n">
        <v>25091623020877</v>
      </c>
      <c r="C185" s="67" t="inlineStr">
        <is>
          <t>Mir Ahsan Abid</t>
        </is>
      </c>
      <c r="D185" s="63" t="n"/>
      <c r="E185" s="62" t="n">
        <v>690323</v>
      </c>
      <c r="F185" s="63" t="inlineStr">
        <is>
          <t xml:space="preserve">Mr./Ms. </t>
        </is>
      </c>
      <c r="G185" s="60" t="n">
        <v>1683871184</v>
      </c>
      <c r="H185" s="66" t="inlineStr">
        <is>
          <t>Narayanganj</t>
        </is>
      </c>
      <c r="I185" s="63" t="inlineStr">
        <is>
          <t>Lifestyle</t>
        </is>
      </c>
      <c r="J185" s="63" t="inlineStr">
        <is>
          <t>Kitchen  Dining</t>
        </is>
      </c>
      <c r="K185" s="62" t="n">
        <v>240</v>
      </c>
      <c r="L185" s="63" t="inlineStr">
        <is>
          <t>First Deal Best Quality Digital Scale 10kg 1g Household Weight Scales Platform Electronic Balance Kitchen scale Baking Measure Food Cooking Tools</t>
        </is>
      </c>
      <c r="M185" s="63" t="inlineStr">
        <is>
          <t>Not Connected</t>
        </is>
      </c>
      <c r="N185" s="79" t="n"/>
      <c r="O185" s="79" t="n"/>
      <c r="P185" s="79" t="n"/>
      <c r="Q185" s="79" t="n"/>
      <c r="R185" s="79" t="n"/>
      <c r="S185" s="79" t="n"/>
      <c r="T185" s="79" t="n"/>
      <c r="U185" s="79" t="n"/>
      <c r="V185" s="79" t="n"/>
      <c r="W185" s="79" t="n"/>
      <c r="X185" s="79" t="n"/>
      <c r="Y185" s="79" t="n"/>
      <c r="Z185" s="79" t="n"/>
    </row>
    <row r="186">
      <c r="A186" s="63" t="n"/>
      <c r="B186" s="62" t="n">
        <v>25091624035058</v>
      </c>
      <c r="C186" s="67" t="inlineStr">
        <is>
          <t>Mir Ahsan Abid</t>
        </is>
      </c>
      <c r="D186" s="63" t="n"/>
      <c r="E186" s="62" t="n">
        <v>692479</v>
      </c>
      <c r="F186" s="63" t="inlineStr">
        <is>
          <t xml:space="preserve">Arouja Begum </t>
        </is>
      </c>
      <c r="G186" s="60" t="n">
        <v>1647653632</v>
      </c>
      <c r="H186" s="66" t="inlineStr">
        <is>
          <t>Narayanganj</t>
        </is>
      </c>
      <c r="I186" s="63" t="inlineStr">
        <is>
          <t>FMCG</t>
        </is>
      </c>
      <c r="J186" s="63" t="inlineStr">
        <is>
          <t>Groceries</t>
        </is>
      </c>
      <c r="K186" s="62" t="n">
        <v>82</v>
      </c>
      <c r="L186" s="63" t="inlineStr">
        <is>
          <t>Hand Towel Tissue Paper - 250 Pcs X 1 Ply</t>
        </is>
      </c>
      <c r="M186" s="63" t="inlineStr">
        <is>
          <t>Not Connected</t>
        </is>
      </c>
      <c r="N186" s="79" t="n"/>
      <c r="O186" s="79" t="n"/>
      <c r="P186" s="79" t="n"/>
      <c r="Q186" s="79" t="n"/>
      <c r="R186" s="79" t="n"/>
      <c r="S186" s="79" t="n"/>
      <c r="T186" s="79" t="n"/>
      <c r="U186" s="79" t="n"/>
      <c r="V186" s="79" t="n"/>
      <c r="W186" s="79" t="n"/>
      <c r="X186" s="79" t="n"/>
      <c r="Y186" s="79" t="n"/>
      <c r="Z186" s="79" t="n"/>
    </row>
    <row r="187">
      <c r="A187" s="63" t="n"/>
      <c r="B187" s="62" t="n">
        <v>25091616208039</v>
      </c>
      <c r="C187" s="67" t="inlineStr">
        <is>
          <t>Mir Ahsan Abid</t>
        </is>
      </c>
      <c r="D187" s="63" t="n"/>
      <c r="E187" s="62" t="n">
        <v>54278</v>
      </c>
      <c r="F187" s="63" t="inlineStr">
        <is>
          <t xml:space="preserve">Sohrab Uddin </t>
        </is>
      </c>
      <c r="G187" s="60" t="n">
        <v>1738092090</v>
      </c>
      <c r="H187" s="66" t="inlineStr">
        <is>
          <t>Narshingdi</t>
        </is>
      </c>
      <c r="I187" s="63" t="inlineStr">
        <is>
          <t>FMCG</t>
        </is>
      </c>
      <c r="J187" s="63" t="inlineStr">
        <is>
          <t>Health  Beauty</t>
        </is>
      </c>
      <c r="K187" s="62" t="n">
        <v>374</v>
      </c>
      <c r="L187" s="63" t="inlineStr">
        <is>
          <t>Crystal Jelly Lip Balm Lipstick Flower Temperature Color Changing Lip Gloss Transparent Long Lasting Lipstick Moisturizer Makeup</t>
        </is>
      </c>
      <c r="M187" s="63" t="inlineStr">
        <is>
          <t xml:space="preserve">Connected </t>
        </is>
      </c>
      <c r="N187" s="79" t="inlineStr">
        <is>
          <t>Yes</t>
        </is>
      </c>
      <c r="O187" s="79" t="inlineStr">
        <is>
          <t>On time</t>
        </is>
      </c>
      <c r="P187" s="79" t="n"/>
      <c r="Q187" s="79" t="n"/>
      <c r="R187" s="79" t="inlineStr">
        <is>
          <t>Neutral</t>
        </is>
      </c>
      <c r="S187" s="79" t="inlineStr">
        <is>
          <t>Not Damaged</t>
        </is>
      </c>
      <c r="T187" s="79" t="inlineStr">
        <is>
          <t>Didn't check</t>
        </is>
      </c>
      <c r="U187" s="79" t="n"/>
      <c r="V187" s="79" t="n"/>
      <c r="W187" s="79" t="n">
        <v>8</v>
      </c>
      <c r="X187" s="79" t="n"/>
      <c r="Y187" s="79" t="inlineStr">
        <is>
          <t>Positive</t>
        </is>
      </c>
      <c r="Z187" s="79" t="n"/>
    </row>
    <row r="188">
      <c r="A188" s="63" t="n"/>
      <c r="B188" s="62" t="n">
        <v>25091628139586</v>
      </c>
      <c r="C188" s="58" t="n"/>
      <c r="D188" s="63" t="n"/>
      <c r="E188" s="62" t="n">
        <v>673976</v>
      </c>
      <c r="F188" s="63" t="inlineStr">
        <is>
          <t>Turjo saha</t>
        </is>
      </c>
      <c r="G188" s="60" t="n">
        <v>1777883425</v>
      </c>
      <c r="H188" s="66" t="inlineStr">
        <is>
          <t>Narshingdi</t>
        </is>
      </c>
      <c r="I188" s="63" t="inlineStr">
        <is>
          <t>Fashion</t>
        </is>
      </c>
      <c r="J188" s="63" t="inlineStr">
        <is>
          <t>Fashion</t>
        </is>
      </c>
      <c r="K188" s="62" t="n">
        <v>399</v>
      </c>
      <c r="L188" s="63" t="inlineStr">
        <is>
          <t>Men's Solid Color Casual Loafer Shoes Everyday Wear Casual Loafer Shoe</t>
        </is>
      </c>
      <c r="M188" s="63" t="inlineStr">
        <is>
          <t xml:space="preserve">Connected </t>
        </is>
      </c>
      <c r="N188" s="79" t="inlineStr">
        <is>
          <t>Yes</t>
        </is>
      </c>
      <c r="O188" s="79" t="inlineStr">
        <is>
          <t>On time</t>
        </is>
      </c>
      <c r="P188" s="79" t="n"/>
      <c r="Q188" s="79" t="n"/>
      <c r="R188" s="79" t="inlineStr">
        <is>
          <t>Very polite</t>
        </is>
      </c>
      <c r="S188" s="79" t="inlineStr">
        <is>
          <t>Not Damaged</t>
        </is>
      </c>
      <c r="T188" s="79" t="inlineStr">
        <is>
          <t>Didn't check</t>
        </is>
      </c>
      <c r="U188" s="79" t="n"/>
      <c r="V188" s="79" t="n"/>
      <c r="W188" s="79" t="n">
        <v>8</v>
      </c>
      <c r="X188" s="79" t="n"/>
      <c r="Y188" s="79" t="inlineStr">
        <is>
          <t>Positive</t>
        </is>
      </c>
      <c r="Z188" s="79" t="n"/>
    </row>
    <row r="189">
      <c r="A189" s="63" t="n"/>
      <c r="B189" s="62" t="n">
        <v>25091628274966</v>
      </c>
      <c r="C189" s="58" t="n"/>
      <c r="D189" s="63" t="n"/>
      <c r="E189" s="62" t="n">
        <v>689380</v>
      </c>
      <c r="F189" s="63" t="inlineStr">
        <is>
          <t xml:space="preserve">HM.Masudur Rahman </t>
        </is>
      </c>
      <c r="G189" s="60" t="n">
        <v>1327759965</v>
      </c>
      <c r="H189" s="66" t="inlineStr">
        <is>
          <t>Narshingdi</t>
        </is>
      </c>
      <c r="I189" s="63" t="inlineStr">
        <is>
          <t>Lifestyle</t>
        </is>
      </c>
      <c r="J189" s="63" t="inlineStr">
        <is>
          <t>Tools, DIY  Outdoor</t>
        </is>
      </c>
      <c r="K189" s="62" t="n">
        <v>125</v>
      </c>
      <c r="L189" s="63" t="inlineStr">
        <is>
          <t>Multifunctional Portable 32 in 1 Precision Screwdriver Tool Set made of ABS Material</t>
        </is>
      </c>
      <c r="M189" s="63" t="inlineStr">
        <is>
          <t xml:space="preserve">Connected </t>
        </is>
      </c>
      <c r="N189" s="79" t="inlineStr">
        <is>
          <t>Yes</t>
        </is>
      </c>
      <c r="O189" s="79" t="inlineStr">
        <is>
          <t>On time</t>
        </is>
      </c>
      <c r="P189" s="79" t="n"/>
      <c r="Q189" s="79" t="n"/>
      <c r="R189" s="79" t="inlineStr">
        <is>
          <t>Very polite</t>
        </is>
      </c>
      <c r="S189" s="79" t="inlineStr">
        <is>
          <t>Not Damaged</t>
        </is>
      </c>
      <c r="T189" s="79" t="inlineStr">
        <is>
          <t>Didn't check</t>
        </is>
      </c>
      <c r="U189" s="79" t="n"/>
      <c r="V189" s="79" t="n"/>
      <c r="W189" s="79" t="n">
        <v>8</v>
      </c>
      <c r="X189" s="79" t="n"/>
      <c r="Y189" s="79" t="inlineStr">
        <is>
          <t>Positive</t>
        </is>
      </c>
      <c r="Z189" s="79" t="n"/>
    </row>
    <row r="190">
      <c r="A190" s="63" t="n"/>
      <c r="B190" s="62" t="n">
        <v>25091632956121</v>
      </c>
      <c r="C190" s="58" t="n"/>
      <c r="D190" s="63" t="n"/>
      <c r="E190" s="62" t="n">
        <v>692049</v>
      </c>
      <c r="F190" s="63" t="inlineStr">
        <is>
          <t>Ms. Sabina Eyasmin</t>
        </is>
      </c>
      <c r="G190" s="60" t="n">
        <v>1736665802</v>
      </c>
      <c r="H190" s="66" t="inlineStr">
        <is>
          <t>Narshingdi</t>
        </is>
      </c>
      <c r="I190" s="63" t="inlineStr">
        <is>
          <t>FMCG</t>
        </is>
      </c>
      <c r="J190" s="63" t="inlineStr">
        <is>
          <t>Groceries</t>
        </is>
      </c>
      <c r="K190" s="62" t="n">
        <v>65</v>
      </c>
      <c r="L190" s="63" t="inlineStr">
        <is>
          <t>Vim Dishwashing Bar 125g</t>
        </is>
      </c>
      <c r="M190" s="63" t="n"/>
      <c r="N190" s="79" t="n"/>
      <c r="O190" s="79" t="n"/>
      <c r="P190" s="79" t="n"/>
      <c r="Q190" s="79" t="n"/>
      <c r="R190" s="79" t="n"/>
      <c r="S190" s="79" t="n"/>
      <c r="T190" s="79" t="n"/>
      <c r="U190" s="79" t="n"/>
      <c r="V190" s="79" t="n"/>
      <c r="W190" s="79" t="n"/>
      <c r="X190" s="79" t="n"/>
      <c r="Y190" s="79" t="n"/>
      <c r="Z190" s="79" t="n"/>
    </row>
    <row r="191">
      <c r="A191" s="63" t="n"/>
      <c r="B191" s="62" t="n">
        <v>25091614270140</v>
      </c>
      <c r="C191" s="67" t="inlineStr">
        <is>
          <t>Mir Ahsan Abid</t>
        </is>
      </c>
      <c r="D191" s="63" t="n"/>
      <c r="E191" s="62" t="n">
        <v>690636</v>
      </c>
      <c r="F191" s="63" t="inlineStr">
        <is>
          <t xml:space="preserve">Mr./Ms. </t>
        </is>
      </c>
      <c r="G191" s="60" t="n">
        <v>1703264365</v>
      </c>
      <c r="H191" s="66" t="inlineStr">
        <is>
          <t>Natore</t>
        </is>
      </c>
      <c r="I191" s="63" t="inlineStr">
        <is>
          <t>Lifestyle</t>
        </is>
      </c>
      <c r="J191" s="63" t="inlineStr">
        <is>
          <t>Sports  Outdoors</t>
        </is>
      </c>
      <c r="K191" s="62" t="n">
        <v>599</v>
      </c>
      <c r="L191" s="63" t="inlineStr">
        <is>
          <t>Rechargeable Electric Shocking Torch gun</t>
        </is>
      </c>
      <c r="M191" s="63" t="inlineStr">
        <is>
          <t xml:space="preserve">Connected </t>
        </is>
      </c>
      <c r="N191" s="79" t="inlineStr">
        <is>
          <t>Yes</t>
        </is>
      </c>
      <c r="O191" s="79" t="inlineStr">
        <is>
          <t>On time</t>
        </is>
      </c>
      <c r="P191" s="79" t="n"/>
      <c r="Q191" s="79" t="n"/>
      <c r="R191" s="79" t="inlineStr">
        <is>
          <t>Very polite</t>
        </is>
      </c>
      <c r="S191" s="79" t="inlineStr">
        <is>
          <t>Not Damaged</t>
        </is>
      </c>
      <c r="T191" s="79" t="inlineStr">
        <is>
          <t>Didn't check</t>
        </is>
      </c>
      <c r="U191" s="79" t="n"/>
      <c r="V191" s="79" t="n"/>
      <c r="W191" s="79" t="n">
        <v>7</v>
      </c>
      <c r="X191" s="79" t="n"/>
      <c r="Y191" s="79" t="inlineStr">
        <is>
          <t>Neutral</t>
        </is>
      </c>
      <c r="Z191" s="79" t="n"/>
    </row>
    <row r="192">
      <c r="A192" s="63" t="n"/>
      <c r="B192" s="62" t="n">
        <v>25091616640410</v>
      </c>
      <c r="C192" s="67" t="inlineStr">
        <is>
          <t>Mir Ahsan Abid</t>
        </is>
      </c>
      <c r="D192" s="63" t="n"/>
      <c r="E192" s="62" t="n">
        <v>664268</v>
      </c>
      <c r="F192" s="63" t="inlineStr">
        <is>
          <t xml:space="preserve">Mr./Ms. </t>
        </is>
      </c>
      <c r="G192" s="60" t="n">
        <v>1303656781</v>
      </c>
      <c r="H192" s="61" t="inlineStr">
        <is>
          <t>Natore</t>
        </is>
      </c>
      <c r="I192" s="63" t="inlineStr">
        <is>
          <t>Lifestyle</t>
        </is>
      </c>
      <c r="J192" s="63" t="inlineStr">
        <is>
          <t>Tools, DIY  Outdoor</t>
        </is>
      </c>
      <c r="K192" s="62" t="n">
        <v>34</v>
      </c>
      <c r="L192" s="63" t="inlineStr">
        <is>
          <t>Mini Alligator Metal Clip Silicone Covered Clip Connector DIY Electrical Clamp for Testing Probe Meter Black Red (2 Pairs)</t>
        </is>
      </c>
      <c r="M192" s="63" t="inlineStr">
        <is>
          <t xml:space="preserve">Connected </t>
        </is>
      </c>
      <c r="N192" s="79" t="inlineStr">
        <is>
          <t>Yes</t>
        </is>
      </c>
      <c r="O192" s="79" t="inlineStr">
        <is>
          <t>Earlier than expected</t>
        </is>
      </c>
      <c r="P192" s="79" t="n"/>
      <c r="Q192" s="79" t="n"/>
      <c r="R192" s="79" t="inlineStr">
        <is>
          <t>Very polite</t>
        </is>
      </c>
      <c r="S192" s="79" t="inlineStr">
        <is>
          <t>Not Damaged</t>
        </is>
      </c>
      <c r="T192" s="79" t="inlineStr">
        <is>
          <t>Didn't check</t>
        </is>
      </c>
      <c r="U192" s="79" t="n"/>
      <c r="V192" s="79" t="n"/>
      <c r="W192" s="79" t="n">
        <v>9</v>
      </c>
      <c r="X192" s="79" t="n"/>
      <c r="Y192" s="79" t="inlineStr">
        <is>
          <t>Positive</t>
        </is>
      </c>
      <c r="Z192" s="79" t="n"/>
    </row>
    <row r="193">
      <c r="A193" s="63" t="n"/>
      <c r="B193" s="62" t="n">
        <v>25091619692109</v>
      </c>
      <c r="C193" s="67" t="inlineStr">
        <is>
          <t>Mir Ahsan Abid</t>
        </is>
      </c>
      <c r="D193" s="63" t="n"/>
      <c r="E193" s="62" t="n">
        <v>690636</v>
      </c>
      <c r="F193" s="63" t="inlineStr">
        <is>
          <t xml:space="preserve">Mr./Ms. </t>
        </is>
      </c>
      <c r="G193" s="60" t="n">
        <v>1703264365</v>
      </c>
      <c r="H193" s="66" t="inlineStr">
        <is>
          <t>Natore</t>
        </is>
      </c>
      <c r="I193" s="63" t="inlineStr">
        <is>
          <t>Lifestyle</t>
        </is>
      </c>
      <c r="J193" s="63" t="inlineStr">
        <is>
          <t>Kitchen  Dining</t>
        </is>
      </c>
      <c r="K193" s="62" t="n">
        <v>65</v>
      </c>
      <c r="L193" s="63" t="inlineStr">
        <is>
          <t>Double-Layer Egg Dispenser Automatic Roll-Down Egg Storage Rack Slide Egg Carton Refrigerator Egg Basket Kitchen Countertop Egg Holder</t>
        </is>
      </c>
      <c r="M193" s="63" t="inlineStr">
        <is>
          <t xml:space="preserve">Connected </t>
        </is>
      </c>
      <c r="N193" s="79" t="inlineStr">
        <is>
          <t>Yes</t>
        </is>
      </c>
      <c r="O193" s="79" t="inlineStr">
        <is>
          <t>On time</t>
        </is>
      </c>
      <c r="P193" s="79" t="n"/>
      <c r="Q193" s="79" t="n"/>
      <c r="R193" s="79" t="inlineStr">
        <is>
          <t>Neutral</t>
        </is>
      </c>
      <c r="S193" s="79" t="inlineStr">
        <is>
          <t>Not Damaged</t>
        </is>
      </c>
      <c r="T193" s="79" t="inlineStr">
        <is>
          <t>Didn't check</t>
        </is>
      </c>
      <c r="U193" s="79" t="n"/>
      <c r="V193" s="79" t="n"/>
      <c r="W193" s="79" t="n">
        <v>9</v>
      </c>
      <c r="X193" s="79" t="n"/>
      <c r="Y193" s="79" t="inlineStr">
        <is>
          <t>Positive</t>
        </is>
      </c>
      <c r="Z193" s="79" t="n"/>
    </row>
    <row r="194">
      <c r="A194" s="63" t="n"/>
      <c r="B194" s="62" t="n">
        <v>25091637504862</v>
      </c>
      <c r="C194" s="58" t="n"/>
      <c r="D194" s="65" t="n"/>
      <c r="E194" s="62" t="n">
        <v>690600</v>
      </c>
      <c r="F194" s="63" t="inlineStr">
        <is>
          <t xml:space="preserve">Liton Rahaman </t>
        </is>
      </c>
      <c r="G194" s="60" t="n">
        <v>1703264365</v>
      </c>
      <c r="H194" s="61" t="inlineStr">
        <is>
          <t>Natore</t>
        </is>
      </c>
      <c r="I194" s="63" t="inlineStr">
        <is>
          <t>Lifestyle</t>
        </is>
      </c>
      <c r="J194" s="63" t="inlineStr">
        <is>
          <t>Kitchen  Dining</t>
        </is>
      </c>
      <c r="K194" s="62" t="n">
        <v>65</v>
      </c>
      <c r="L194" s="63" t="inlineStr">
        <is>
          <t>Double-Layer Egg Dispenser Automatic Roll-Down Egg Storage Rack Slide Egg Carton Refrigerator Egg Basket Kitchen Countertop Egg Holder</t>
        </is>
      </c>
      <c r="M194" s="63" t="n"/>
      <c r="N194" s="79" t="n"/>
      <c r="O194" s="79" t="n"/>
      <c r="P194" s="79" t="n"/>
      <c r="Q194" s="79" t="n"/>
      <c r="R194" s="79" t="n"/>
      <c r="S194" s="79" t="n"/>
      <c r="T194" s="79" t="n"/>
      <c r="U194" s="79" t="n"/>
      <c r="V194" s="79" t="n"/>
      <c r="W194" s="79" t="n"/>
      <c r="X194" s="79" t="n"/>
      <c r="Y194" s="79" t="n"/>
      <c r="Z194" s="79" t="n"/>
    </row>
    <row r="195">
      <c r="A195" s="63" t="n"/>
      <c r="B195" s="62" t="n">
        <v>25091664752704</v>
      </c>
      <c r="C195" s="58" t="n"/>
      <c r="D195" s="65" t="n"/>
      <c r="E195" s="62" t="n">
        <v>535019</v>
      </c>
      <c r="F195" s="63" t="inlineStr">
        <is>
          <t xml:space="preserve">Mr./Ms. </t>
        </is>
      </c>
      <c r="G195" s="60" t="n">
        <v>1710510509</v>
      </c>
      <c r="H195" s="66" t="inlineStr">
        <is>
          <t>Netrakona</t>
        </is>
      </c>
      <c r="I195" s="63" t="inlineStr">
        <is>
          <t>FMCG</t>
        </is>
      </c>
      <c r="J195" s="63" t="inlineStr">
        <is>
          <t>Mother  Baby</t>
        </is>
      </c>
      <c r="K195" s="62" t="n">
        <v>2032</v>
      </c>
      <c r="L195" s="63" t="inlineStr">
        <is>
          <t>Neocare Diaper Medium Premium (4-9 kg) -50 Pcs</t>
        </is>
      </c>
      <c r="M195" s="63" t="n"/>
      <c r="N195" s="79" t="n"/>
      <c r="O195" s="79" t="n"/>
      <c r="P195" s="79" t="n"/>
      <c r="Q195" s="79" t="n"/>
      <c r="R195" s="79" t="n"/>
      <c r="S195" s="79" t="n"/>
      <c r="T195" s="79" t="n"/>
      <c r="U195" s="79" t="n"/>
      <c r="V195" s="79" t="n"/>
      <c r="W195" s="79" t="n"/>
      <c r="X195" s="79" t="n"/>
      <c r="Y195" s="79" t="n"/>
      <c r="Z195" s="79" t="n"/>
    </row>
    <row r="196">
      <c r="A196" s="63" t="n"/>
      <c r="B196" s="62" t="n">
        <v>25091753169009</v>
      </c>
      <c r="C196" s="58" t="n"/>
      <c r="D196" s="65" t="n"/>
      <c r="E196" s="62" t="n">
        <v>680947</v>
      </c>
      <c r="F196" s="63" t="inlineStr">
        <is>
          <t xml:space="preserve">Nurujjaman Engineering workshop </t>
        </is>
      </c>
      <c r="G196" s="60" t="n">
        <v>1402829493</v>
      </c>
      <c r="H196" s="61" t="inlineStr">
        <is>
          <t>Netrakona</t>
        </is>
      </c>
      <c r="I196" s="63" t="inlineStr">
        <is>
          <t>Fashion</t>
        </is>
      </c>
      <c r="J196" s="63" t="inlineStr">
        <is>
          <t>Watches Sunglasses Jewellery</t>
        </is>
      </c>
      <c r="K196" s="62" t="n">
        <v>184</v>
      </c>
      <c r="L196" s="63" t="inlineStr">
        <is>
          <t>Smart Ladies Kids Waterproof Touch Screen LED Digital Baby Watch for Boys and Girls</t>
        </is>
      </c>
      <c r="M196" s="63" t="n"/>
      <c r="N196" s="79" t="n"/>
      <c r="O196" s="79" t="n"/>
      <c r="P196" s="79" t="n"/>
      <c r="Q196" s="79" t="n"/>
      <c r="R196" s="79" t="n"/>
      <c r="S196" s="79" t="n"/>
      <c r="T196" s="79" t="n"/>
      <c r="U196" s="79" t="n"/>
      <c r="V196" s="79" t="n"/>
      <c r="W196" s="79" t="n"/>
      <c r="X196" s="79" t="n"/>
      <c r="Y196" s="79" t="n"/>
      <c r="Z196" s="79" t="n"/>
    </row>
    <row r="197">
      <c r="A197" s="63" t="n"/>
      <c r="B197" s="62" t="n">
        <v>25091780332907</v>
      </c>
      <c r="C197" s="58" t="n"/>
      <c r="D197" s="65" t="n"/>
      <c r="E197" s="62" t="n">
        <v>511967</v>
      </c>
      <c r="F197" s="63" t="inlineStr">
        <is>
          <t xml:space="preserve">Nayeem Ahmed Bulbul </t>
        </is>
      </c>
      <c r="G197" s="60" t="n">
        <v>1714336585</v>
      </c>
      <c r="H197" s="61" t="inlineStr">
        <is>
          <t>Netrakona</t>
        </is>
      </c>
      <c r="I197" s="63" t="inlineStr">
        <is>
          <t>Lifestyle</t>
        </is>
      </c>
      <c r="J197" s="63" t="inlineStr">
        <is>
          <t>Tools, DIY  Outdoor</t>
        </is>
      </c>
      <c r="K197" s="62" t="n">
        <v>624</v>
      </c>
      <c r="L197" s="63" t="inlineStr">
        <is>
          <t>DingQi 3/4" Inch Pipe Tools Ratchet Pipe Threading</t>
        </is>
      </c>
      <c r="M197" s="63" t="n"/>
      <c r="N197" s="79" t="n"/>
      <c r="O197" s="79" t="n"/>
      <c r="P197" s="79" t="n"/>
      <c r="Q197" s="79" t="n"/>
      <c r="R197" s="79" t="n"/>
      <c r="S197" s="79" t="n"/>
      <c r="T197" s="79" t="n"/>
      <c r="U197" s="79" t="n"/>
      <c r="V197" s="79" t="n"/>
      <c r="W197" s="79" t="n"/>
      <c r="X197" s="79" t="n"/>
      <c r="Y197" s="79" t="n"/>
      <c r="Z197" s="79" t="n"/>
    </row>
    <row r="198">
      <c r="A198" s="63" t="n"/>
      <c r="B198" s="62" t="n">
        <v>25091946221528</v>
      </c>
      <c r="C198" s="58" t="n"/>
      <c r="D198" s="65" t="n"/>
      <c r="E198" s="62" t="n">
        <v>689547</v>
      </c>
      <c r="F198" s="63" t="inlineStr">
        <is>
          <t xml:space="preserve">Md Jummon </t>
        </is>
      </c>
      <c r="G198" s="60" t="n">
        <v>1827223991</v>
      </c>
      <c r="H198" s="66" t="inlineStr">
        <is>
          <t>Netrakona</t>
        </is>
      </c>
      <c r="I198" s="63" t="inlineStr">
        <is>
          <t>Lifestyle</t>
        </is>
      </c>
      <c r="J198" s="63" t="inlineStr">
        <is>
          <t>Tools, DIY  Outdoor</t>
        </is>
      </c>
      <c r="K198" s="62" t="n">
        <v>748</v>
      </c>
      <c r="L198" s="63" t="inlineStr">
        <is>
          <t>Temperature Adjustable AC 220V 60W Soldering Iron 200-450 ℃</t>
        </is>
      </c>
      <c r="M198" s="63" t="n"/>
      <c r="N198" s="79" t="n"/>
      <c r="O198" s="79" t="n"/>
      <c r="P198" s="79" t="n"/>
      <c r="Q198" s="79" t="n"/>
      <c r="R198" s="79" t="n"/>
      <c r="S198" s="79" t="n"/>
      <c r="T198" s="79" t="n"/>
      <c r="U198" s="79" t="n"/>
      <c r="V198" s="79" t="n"/>
      <c r="W198" s="79" t="n"/>
      <c r="X198" s="79" t="n"/>
      <c r="Y198" s="79" t="n"/>
      <c r="Z198" s="79" t="n"/>
    </row>
    <row r="199">
      <c r="A199" s="63" t="n"/>
      <c r="B199" s="62" t="n">
        <v>25091658266861</v>
      </c>
      <c r="C199" s="58" t="n"/>
      <c r="D199" s="65" t="n"/>
      <c r="E199" s="62" t="n">
        <v>693271</v>
      </c>
      <c r="F199" s="63" t="inlineStr">
        <is>
          <t>shanto roy</t>
        </is>
      </c>
      <c r="G199" s="60" t="n">
        <v>1614233027</v>
      </c>
      <c r="H199" s="61" t="inlineStr">
        <is>
          <t>Nilphamari</t>
        </is>
      </c>
      <c r="I199" s="63" t="inlineStr">
        <is>
          <t>Electronics</t>
        </is>
      </c>
      <c r="J199" s="63" t="inlineStr">
        <is>
          <t>Computers  Laptops</t>
        </is>
      </c>
      <c r="K199" s="62" t="n">
        <v>465</v>
      </c>
      <c r="L199" s="63" t="inlineStr">
        <is>
          <t>12V DC to 220V AC Converter Inverter 100 Watt</t>
        </is>
      </c>
      <c r="M199" s="63" t="n"/>
      <c r="N199" s="79" t="n"/>
      <c r="O199" s="79" t="n"/>
      <c r="P199" s="79" t="n"/>
      <c r="Q199" s="79" t="n"/>
      <c r="R199" s="79" t="n"/>
      <c r="S199" s="79" t="n"/>
      <c r="T199" s="79" t="n"/>
      <c r="U199" s="79" t="n"/>
      <c r="V199" s="79" t="n"/>
      <c r="W199" s="79" t="n"/>
      <c r="X199" s="79" t="n"/>
      <c r="Y199" s="79" t="n"/>
      <c r="Z199" s="79" t="n"/>
    </row>
    <row r="200">
      <c r="A200" s="63" t="n"/>
      <c r="B200" s="62" t="n">
        <v>25091665770739</v>
      </c>
      <c r="C200" s="58" t="n"/>
      <c r="D200" s="65" t="n"/>
      <c r="E200" s="62" t="n">
        <v>646593</v>
      </c>
      <c r="F200" s="63" t="inlineStr">
        <is>
          <t xml:space="preserve">Mr./Ms. </t>
        </is>
      </c>
      <c r="G200" s="60" t="n">
        <v>1567953197</v>
      </c>
      <c r="H200" s="61" t="inlineStr">
        <is>
          <t>Nilphamari</t>
        </is>
      </c>
      <c r="I200" s="63" t="inlineStr">
        <is>
          <t>Fashion</t>
        </is>
      </c>
      <c r="J200" s="63" t="inlineStr">
        <is>
          <t>Fashion</t>
        </is>
      </c>
      <c r="K200" s="62" t="n">
        <v>162</v>
      </c>
      <c r="L200" s="63" t="inlineStr">
        <is>
          <t>Loafer for Men Rubber Shoes V Waterproof shoe Shoe for man Handicraft Shop</t>
        </is>
      </c>
      <c r="M200" s="63" t="n"/>
      <c r="N200" s="79" t="n"/>
      <c r="O200" s="79" t="n"/>
      <c r="P200" s="79" t="n"/>
      <c r="Q200" s="79" t="n"/>
      <c r="R200" s="79" t="n"/>
      <c r="S200" s="79" t="n"/>
      <c r="T200" s="79" t="n"/>
      <c r="U200" s="79" t="n"/>
      <c r="V200" s="79" t="n"/>
      <c r="W200" s="79" t="n"/>
      <c r="X200" s="79" t="n"/>
      <c r="Y200" s="79" t="n"/>
      <c r="Z200" s="79" t="n"/>
    </row>
    <row r="201">
      <c r="A201" s="63" t="n"/>
      <c r="B201" s="62" t="n">
        <v>25091671011436</v>
      </c>
      <c r="C201" s="58" t="n"/>
      <c r="D201" s="65" t="n"/>
      <c r="E201" s="62" t="n">
        <v>681692</v>
      </c>
      <c r="F201" s="63" t="inlineStr">
        <is>
          <t xml:space="preserve">barshon saha </t>
        </is>
      </c>
      <c r="G201" s="60" t="n">
        <v>1332821213</v>
      </c>
      <c r="H201" s="61" t="inlineStr">
        <is>
          <t>Nilphamari</t>
        </is>
      </c>
      <c r="I201" s="63" t="inlineStr">
        <is>
          <t>Lifestyle</t>
        </is>
      </c>
      <c r="J201" s="63" t="inlineStr">
        <is>
          <t>Tools, DIY  Outdoor</t>
        </is>
      </c>
      <c r="K201" s="62" t="n">
        <v>350</v>
      </c>
      <c r="L201" s="63" t="inlineStr">
        <is>
          <t>Crimper Cable Cutter Adjustable Automatic Wire Stripper Multifunctional Stripping Crimping Pliers Terminal Hand Tool</t>
        </is>
      </c>
      <c r="M201" s="63" t="n"/>
      <c r="N201" s="79" t="n"/>
      <c r="O201" s="79" t="n"/>
      <c r="P201" s="79" t="n"/>
      <c r="Q201" s="79" t="n"/>
      <c r="R201" s="79" t="n"/>
      <c r="S201" s="79" t="n"/>
      <c r="T201" s="79" t="n"/>
      <c r="U201" s="79" t="n"/>
      <c r="V201" s="79" t="n"/>
      <c r="W201" s="79" t="n"/>
      <c r="X201" s="79" t="n"/>
      <c r="Y201" s="79" t="n"/>
      <c r="Z201" s="79" t="n"/>
    </row>
    <row r="202">
      <c r="A202" s="63" t="n"/>
      <c r="B202" s="62" t="n">
        <v>25091683256965</v>
      </c>
      <c r="C202" s="58" t="n"/>
      <c r="D202" s="65" t="n"/>
      <c r="E202" s="62" t="n">
        <v>205108</v>
      </c>
      <c r="F202" s="63" t="inlineStr">
        <is>
          <t xml:space="preserve">Rashed Khan </t>
        </is>
      </c>
      <c r="G202" s="60" t="n">
        <v>1318078326</v>
      </c>
      <c r="H202" s="66" t="inlineStr">
        <is>
          <t>Nilphamari</t>
        </is>
      </c>
      <c r="I202" s="63" t="inlineStr">
        <is>
          <t>FMCG</t>
        </is>
      </c>
      <c r="J202" s="63" t="inlineStr">
        <is>
          <t>Mother  Baby</t>
        </is>
      </c>
      <c r="K202" s="62" t="n">
        <v>106</v>
      </c>
      <c r="L202" s="63" t="inlineStr">
        <is>
          <t>DR.DAVEY Black Charcoal Soap Cleaning Soap 100g</t>
        </is>
      </c>
      <c r="M202" s="63" t="n"/>
      <c r="N202" s="79" t="n"/>
      <c r="O202" s="79" t="n"/>
      <c r="P202" s="79" t="n"/>
      <c r="Q202" s="79" t="n"/>
      <c r="R202" s="79" t="n"/>
      <c r="S202" s="79" t="n"/>
      <c r="T202" s="79" t="n"/>
      <c r="U202" s="79" t="n"/>
      <c r="V202" s="79" t="n"/>
      <c r="W202" s="79" t="n"/>
      <c r="X202" s="79" t="n"/>
      <c r="Y202" s="79" t="n"/>
      <c r="Z202" s="79" t="n"/>
    </row>
    <row r="203">
      <c r="A203" s="63" t="n"/>
      <c r="B203" s="62" t="n">
        <v>25091617239402</v>
      </c>
      <c r="C203" s="67" t="inlineStr">
        <is>
          <t>Mir Ahsan Abid</t>
        </is>
      </c>
      <c r="D203" s="63" t="n"/>
      <c r="E203" s="62" t="n">
        <v>442645</v>
      </c>
      <c r="F203" s="63" t="inlineStr">
        <is>
          <t>Md Abrar Galiv</t>
        </is>
      </c>
      <c r="G203" s="60" t="n">
        <v>1835027182</v>
      </c>
      <c r="H203" s="61" t="inlineStr">
        <is>
          <t>Noakhali</t>
        </is>
      </c>
      <c r="I203" s="63" t="inlineStr">
        <is>
          <t>Electronics</t>
        </is>
      </c>
      <c r="J203" s="63" t="inlineStr">
        <is>
          <t>Mobiles  Tablets</t>
        </is>
      </c>
      <c r="K203" s="62" t="n">
        <v>118</v>
      </c>
      <c r="L203" s="63" t="inlineStr">
        <is>
          <t>For Realme C31 4G Shockproof Bumper Cover Realme C31 Backpart - Camera</t>
        </is>
      </c>
      <c r="M203" s="63" t="inlineStr">
        <is>
          <t xml:space="preserve">Connected </t>
        </is>
      </c>
      <c r="N203" s="79" t="inlineStr">
        <is>
          <t>Yes</t>
        </is>
      </c>
      <c r="O203" s="79" t="inlineStr">
        <is>
          <t>On time</t>
        </is>
      </c>
      <c r="P203" s="79" t="n"/>
      <c r="Q203" s="79" t="n"/>
      <c r="R203" s="79" t="inlineStr">
        <is>
          <t>Neutral</t>
        </is>
      </c>
      <c r="S203" s="79" t="inlineStr">
        <is>
          <t>Not Damaged</t>
        </is>
      </c>
      <c r="T203" s="79" t="inlineStr">
        <is>
          <t>Yes</t>
        </is>
      </c>
      <c r="U203" s="79" t="n"/>
      <c r="V203" s="79" t="n"/>
      <c r="W203" s="79" t="n">
        <v>9</v>
      </c>
      <c r="X203" s="79" t="n"/>
      <c r="Y203" s="79" t="inlineStr">
        <is>
          <t>Neutral</t>
        </is>
      </c>
      <c r="Z203" s="79" t="n"/>
    </row>
    <row r="204">
      <c r="A204" s="63" t="n"/>
      <c r="B204" s="62" t="n">
        <v>25091621020004</v>
      </c>
      <c r="C204" s="67" t="inlineStr">
        <is>
          <t>Mir Ahsan Abid</t>
        </is>
      </c>
      <c r="D204" s="63" t="n"/>
      <c r="E204" s="62" t="n">
        <v>681776</v>
      </c>
      <c r="F204" s="63" t="inlineStr">
        <is>
          <t xml:space="preserve">Mr./Ms. </t>
        </is>
      </c>
      <c r="G204" s="60" t="n">
        <v>1806280673</v>
      </c>
      <c r="H204" s="61" t="inlineStr">
        <is>
          <t>Noakhali</t>
        </is>
      </c>
      <c r="I204" s="63" t="inlineStr">
        <is>
          <t>Fashion</t>
        </is>
      </c>
      <c r="J204" s="63" t="inlineStr">
        <is>
          <t>Watches Sunglasses Jewellery</t>
        </is>
      </c>
      <c r="K204" s="62" t="n">
        <v>1558</v>
      </c>
      <c r="L204" s="63" t="inlineStr">
        <is>
          <t>NAVIFORCE NF8023 Green PU Leather Analog Watch For Men - Silver_Green</t>
        </is>
      </c>
      <c r="M204" s="63" t="inlineStr">
        <is>
          <t xml:space="preserve">Connected </t>
        </is>
      </c>
      <c r="N204" s="79" t="inlineStr">
        <is>
          <t>Yes</t>
        </is>
      </c>
      <c r="O204" s="79" t="inlineStr">
        <is>
          <t>On time</t>
        </is>
      </c>
      <c r="P204" s="79" t="n"/>
      <c r="Q204" s="79" t="n"/>
      <c r="R204" s="79" t="inlineStr">
        <is>
          <t>Neutral</t>
        </is>
      </c>
      <c r="S204" s="79" t="inlineStr">
        <is>
          <t>Not Damaged</t>
        </is>
      </c>
      <c r="T204" s="79" t="inlineStr">
        <is>
          <t>Didn't check</t>
        </is>
      </c>
      <c r="U204" s="79" t="n"/>
      <c r="V204" s="79" t="n"/>
      <c r="W204" s="79" t="n">
        <v>10</v>
      </c>
      <c r="X204" s="79" t="n"/>
      <c r="Y204" s="79" t="inlineStr">
        <is>
          <t>Positive</t>
        </is>
      </c>
      <c r="Z204" s="79" t="n"/>
    </row>
    <row r="205">
      <c r="A205" s="63" t="n"/>
      <c r="B205" s="62" t="n">
        <v>25091629058511</v>
      </c>
      <c r="C205" s="58" t="n"/>
      <c r="D205" s="63" t="n"/>
      <c r="E205" s="62" t="n">
        <v>687983</v>
      </c>
      <c r="F205" s="63" t="inlineStr">
        <is>
          <t xml:space="preserve">muhib bashir </t>
        </is>
      </c>
      <c r="G205" s="60" t="n">
        <v>1838273040</v>
      </c>
      <c r="H205" s="66" t="inlineStr">
        <is>
          <t>Noakhali</t>
        </is>
      </c>
      <c r="I205" s="63" t="inlineStr">
        <is>
          <t>FMCG</t>
        </is>
      </c>
      <c r="J205" s="63" t="inlineStr">
        <is>
          <t>Groceries</t>
        </is>
      </c>
      <c r="K205" s="62" t="n">
        <v>90</v>
      </c>
      <c r="L205" s="63" t="inlineStr">
        <is>
          <t>Partex Cleen Toilet Tissue White (2 Ply Regular) - Ultra Soft</t>
        </is>
      </c>
      <c r="M205" s="63" t="inlineStr">
        <is>
          <t xml:space="preserve">Connected </t>
        </is>
      </c>
      <c r="N205" s="79" t="inlineStr">
        <is>
          <t>Yes</t>
        </is>
      </c>
      <c r="O205" s="79" t="inlineStr">
        <is>
          <t>On time</t>
        </is>
      </c>
      <c r="P205" s="79" t="n"/>
      <c r="Q205" s="79" t="n"/>
      <c r="R205" s="79" t="inlineStr">
        <is>
          <t>Very polite</t>
        </is>
      </c>
      <c r="S205" s="79" t="inlineStr">
        <is>
          <t>Not Damaged</t>
        </is>
      </c>
      <c r="T205" s="79" t="inlineStr">
        <is>
          <t>Yes</t>
        </is>
      </c>
      <c r="U205" s="79" t="n"/>
      <c r="V205" s="79" t="n"/>
      <c r="W205" s="79" t="n">
        <v>10</v>
      </c>
      <c r="X205" s="79" t="n"/>
      <c r="Y205" s="79" t="n"/>
      <c r="Z205" s="79" t="n"/>
    </row>
    <row r="206">
      <c r="A206" s="63" t="n"/>
      <c r="B206" s="62" t="n">
        <v>25091630142889</v>
      </c>
      <c r="C206" s="58" t="n"/>
      <c r="D206" s="63" t="n"/>
      <c r="E206" s="62" t="n">
        <v>689483</v>
      </c>
      <c r="F206" s="63" t="inlineStr">
        <is>
          <t xml:space="preserve">Mr./Ms. </t>
        </is>
      </c>
      <c r="G206" s="60" t="n">
        <v>1833393815</v>
      </c>
      <c r="H206" s="61" t="inlineStr">
        <is>
          <t>Noakhali</t>
        </is>
      </c>
      <c r="I206" s="63" t="inlineStr">
        <is>
          <t>Fashion</t>
        </is>
      </c>
      <c r="J206" s="63" t="inlineStr">
        <is>
          <t>Fashion</t>
        </is>
      </c>
      <c r="K206" s="62" t="n">
        <v>658</v>
      </c>
      <c r="L206" s="63" t="inlineStr">
        <is>
          <t>New Gorgeous Unstitched Afsan Printed Three Piece For Women ( 3 Pieces ) - Dress For Girls - 3 Piece Dress - Three Piece</t>
        </is>
      </c>
      <c r="M206" s="63" t="inlineStr">
        <is>
          <t>Not Connected</t>
        </is>
      </c>
      <c r="N206" s="79" t="n"/>
      <c r="O206" s="79" t="n"/>
      <c r="P206" s="79" t="n"/>
      <c r="Q206" s="79" t="n"/>
      <c r="R206" s="79" t="n"/>
      <c r="S206" s="79" t="n"/>
      <c r="T206" s="79" t="n"/>
      <c r="U206" s="79" t="n"/>
      <c r="V206" s="79" t="n"/>
      <c r="W206" s="79" t="n"/>
      <c r="X206" s="79" t="n"/>
      <c r="Y206" s="79" t="n"/>
      <c r="Z206" s="79" t="n"/>
    </row>
    <row r="207">
      <c r="A207" s="63" t="n"/>
      <c r="B207" s="62" t="n">
        <v>25091618902423</v>
      </c>
      <c r="C207" s="67" t="inlineStr">
        <is>
          <t>Mir Ahsan Abid</t>
        </is>
      </c>
      <c r="D207" s="63" t="n"/>
      <c r="E207" s="62" t="n">
        <v>108485</v>
      </c>
      <c r="F207" s="63" t="inlineStr">
        <is>
          <t>Md Emon</t>
        </is>
      </c>
      <c r="G207" s="60" t="n">
        <v>1590036238</v>
      </c>
      <c r="H207" s="61" t="inlineStr">
        <is>
          <t>Pabna</t>
        </is>
      </c>
      <c r="I207" s="63" t="inlineStr">
        <is>
          <t>Electronics</t>
        </is>
      </c>
      <c r="J207" s="63" t="inlineStr">
        <is>
          <t>Computers  Laptops</t>
        </is>
      </c>
      <c r="K207" s="62" t="n">
        <v>203</v>
      </c>
      <c r="L207" s="63" t="inlineStr">
        <is>
          <t>Wireless Optical Mouse For Computer Laptop Non -Rechargable Mouse 2.4Ghz Wireless Mouse Silent Mouse USB 2.0 AAA Battery System</t>
        </is>
      </c>
      <c r="M207" s="63" t="inlineStr">
        <is>
          <t>Not Connected</t>
        </is>
      </c>
      <c r="N207" s="79" t="n"/>
      <c r="O207" s="79" t="n"/>
      <c r="P207" s="79" t="n"/>
      <c r="Q207" s="79" t="n"/>
      <c r="R207" s="79" t="n"/>
      <c r="S207" s="79" t="n"/>
      <c r="T207" s="79" t="n"/>
      <c r="U207" s="79" t="n"/>
      <c r="V207" s="79" t="n"/>
      <c r="W207" s="79" t="n"/>
      <c r="X207" s="79" t="n"/>
      <c r="Y207" s="79" t="n"/>
      <c r="Z207" s="79" t="n"/>
    </row>
    <row r="208">
      <c r="A208" s="63" t="n"/>
      <c r="B208" s="62" t="n">
        <v>25091626152121</v>
      </c>
      <c r="C208" s="67" t="inlineStr">
        <is>
          <t>Mir Ahsan Abid</t>
        </is>
      </c>
      <c r="D208" s="63" t="n"/>
      <c r="E208" s="62" t="n">
        <v>179778</v>
      </c>
      <c r="F208" s="63" t="inlineStr">
        <is>
          <t xml:space="preserve">Md Naimur Rahman Niloy </t>
        </is>
      </c>
      <c r="G208" s="60" t="n">
        <v>1748306837</v>
      </c>
      <c r="H208" s="61" t="inlineStr">
        <is>
          <t>Pabna</t>
        </is>
      </c>
      <c r="I208" s="63" t="inlineStr">
        <is>
          <t>Fashion</t>
        </is>
      </c>
      <c r="J208" s="63" t="inlineStr">
        <is>
          <t>Fashion</t>
        </is>
      </c>
      <c r="K208" s="62" t="n">
        <v>134</v>
      </c>
      <c r="L208" s="63" t="inlineStr">
        <is>
          <t>Comfortable T-Shirts Of Good Quality Men'S Full-Sleeved T-Shirts</t>
        </is>
      </c>
      <c r="M208" s="63" t="inlineStr">
        <is>
          <t>Not Connected</t>
        </is>
      </c>
      <c r="N208" s="79" t="n"/>
      <c r="O208" s="79" t="n"/>
      <c r="P208" s="79" t="n"/>
      <c r="Q208" s="79" t="n"/>
      <c r="R208" s="79" t="n"/>
      <c r="S208" s="79" t="n"/>
      <c r="T208" s="79" t="n"/>
      <c r="U208" s="79" t="n"/>
      <c r="V208" s="79" t="n"/>
      <c r="W208" s="79" t="n"/>
      <c r="X208" s="79" t="n"/>
      <c r="Y208" s="79" t="n"/>
      <c r="Z208" s="79" t="n"/>
    </row>
    <row r="209">
      <c r="A209" s="63" t="n"/>
      <c r="B209" s="62" t="n">
        <v>25091627948269</v>
      </c>
      <c r="C209" s="58" t="n"/>
      <c r="D209" s="63" t="n"/>
      <c r="E209" s="62" t="n">
        <v>480192</v>
      </c>
      <c r="F209" s="63" t="inlineStr">
        <is>
          <t>Mr Prashanto Sarkar</t>
        </is>
      </c>
      <c r="G209" s="60" t="n">
        <v>1972267737</v>
      </c>
      <c r="H209" s="61" t="inlineStr">
        <is>
          <t>Pabna</t>
        </is>
      </c>
      <c r="I209" s="63" t="inlineStr">
        <is>
          <t>Electronics</t>
        </is>
      </c>
      <c r="J209" s="63" t="inlineStr">
        <is>
          <t>Mobiles  Tablets</t>
        </is>
      </c>
      <c r="K209" s="62" t="n">
        <v>84</v>
      </c>
      <c r="L209" s="63" t="inlineStr">
        <is>
          <t>For Samsung Galaxy S24 soft transparent cover</t>
        </is>
      </c>
      <c r="M209" s="63" t="inlineStr">
        <is>
          <t xml:space="preserve">Connected </t>
        </is>
      </c>
      <c r="N209" s="79" t="inlineStr">
        <is>
          <t>No</t>
        </is>
      </c>
      <c r="O209" s="79" t="n"/>
      <c r="P209" s="79" t="n"/>
      <c r="Q209" s="79" t="n"/>
      <c r="R209" s="79" t="n"/>
      <c r="S209" s="79" t="n"/>
      <c r="T209" s="79" t="n"/>
      <c r="U209" s="79" t="n"/>
      <c r="V209" s="79" t="n"/>
      <c r="W209" s="79" t="n"/>
      <c r="X209" s="79" t="n"/>
      <c r="Y209" s="79" t="n"/>
      <c r="Z209" s="79" t="n"/>
    </row>
    <row r="210">
      <c r="A210" s="63" t="n"/>
      <c r="B210" s="62" t="n">
        <v>25091648409148</v>
      </c>
      <c r="C210" s="58" t="n"/>
      <c r="D210" s="65" t="n"/>
      <c r="E210" s="62" t="n">
        <v>56089</v>
      </c>
      <c r="F210" s="63" t="inlineStr">
        <is>
          <t>Mahbubul Hasan Shuvo</t>
        </is>
      </c>
      <c r="G210" s="60" t="n">
        <v>1759594870</v>
      </c>
      <c r="H210" s="66" t="inlineStr">
        <is>
          <t>Pabna</t>
        </is>
      </c>
      <c r="I210" s="63" t="inlineStr">
        <is>
          <t>FMCG</t>
        </is>
      </c>
      <c r="J210" s="63" t="inlineStr">
        <is>
          <t>Health  Beauty</t>
        </is>
      </c>
      <c r="K210" s="62" t="n">
        <v>36</v>
      </c>
      <c r="L210" s="63" t="inlineStr">
        <is>
          <t>Sepnil Sanitizing Soap (Sea Mineral) - 75gm</t>
        </is>
      </c>
      <c r="M210" s="63" t="n"/>
      <c r="N210" s="79" t="n"/>
      <c r="O210" s="79" t="n"/>
      <c r="P210" s="79" t="n"/>
      <c r="Q210" s="79" t="n"/>
      <c r="R210" s="79" t="n"/>
      <c r="S210" s="79" t="n"/>
      <c r="T210" s="79" t="n"/>
      <c r="U210" s="79" t="n"/>
      <c r="V210" s="79" t="n"/>
      <c r="W210" s="79" t="n"/>
      <c r="X210" s="79" t="n"/>
      <c r="Y210" s="79" t="n"/>
      <c r="Z210" s="79" t="n"/>
    </row>
    <row r="211">
      <c r="A211" s="63" t="n"/>
      <c r="B211" s="62" t="n">
        <v>25091623308318</v>
      </c>
      <c r="C211" s="67" t="inlineStr">
        <is>
          <t>Mir Ahsan Abid</t>
        </is>
      </c>
      <c r="D211" s="63" t="n"/>
      <c r="E211" s="62" t="n">
        <v>626727</v>
      </c>
      <c r="F211" s="63" t="inlineStr">
        <is>
          <t xml:space="preserve">Mr./Ms. </t>
        </is>
      </c>
      <c r="G211" s="60" t="n">
        <v>1701208146</v>
      </c>
      <c r="H211" s="66" t="inlineStr">
        <is>
          <t>Panchagarh</t>
        </is>
      </c>
      <c r="I211" s="63" t="inlineStr">
        <is>
          <t>Lifestyle</t>
        </is>
      </c>
      <c r="J211" s="63" t="inlineStr">
        <is>
          <t>Bedding  Bath</t>
        </is>
      </c>
      <c r="K211" s="62" t="n">
        <v>59</v>
      </c>
      <c r="L211" s="63" t="inlineStr">
        <is>
          <t>Portable Toothbrush &amp; Toothpaste Holder Storage Box - 1 Piece (Multicolor)</t>
        </is>
      </c>
      <c r="M211" s="63" t="inlineStr">
        <is>
          <t xml:space="preserve">Connected </t>
        </is>
      </c>
      <c r="N211" s="79" t="inlineStr">
        <is>
          <t>Yes</t>
        </is>
      </c>
      <c r="O211" s="79" t="inlineStr">
        <is>
          <t>On time</t>
        </is>
      </c>
      <c r="P211" s="79" t="n"/>
      <c r="Q211" s="79" t="n"/>
      <c r="R211" s="79" t="inlineStr">
        <is>
          <t>Very polite</t>
        </is>
      </c>
      <c r="S211" s="79" t="inlineStr">
        <is>
          <t>Not Damaged</t>
        </is>
      </c>
      <c r="T211" s="79" t="inlineStr">
        <is>
          <t>Yes</t>
        </is>
      </c>
      <c r="U211" s="79" t="n"/>
      <c r="V211" s="79" t="n"/>
      <c r="W211" s="79" t="n">
        <v>8</v>
      </c>
      <c r="X211" s="79" t="n"/>
      <c r="Y211" s="79" t="inlineStr">
        <is>
          <t>Positive</t>
        </is>
      </c>
      <c r="Z211" s="79" t="n"/>
    </row>
    <row r="212">
      <c r="A212" s="63" t="n"/>
      <c r="B212" s="62" t="n">
        <v>25091623841250</v>
      </c>
      <c r="C212" s="67" t="inlineStr">
        <is>
          <t>Mir Ahsan Abid</t>
        </is>
      </c>
      <c r="D212" s="63" t="n"/>
      <c r="E212" s="62" t="n">
        <v>684648</v>
      </c>
      <c r="F212" s="63" t="inlineStr">
        <is>
          <t>Badhan roy</t>
        </is>
      </c>
      <c r="G212" s="60" t="n">
        <v>1757414249</v>
      </c>
      <c r="H212" s="66" t="inlineStr">
        <is>
          <t>Panchagarh</t>
        </is>
      </c>
      <c r="I212" s="63" t="inlineStr">
        <is>
          <t>Fashion</t>
        </is>
      </c>
      <c r="J212" s="63" t="inlineStr">
        <is>
          <t>Watches Sunglasses Jewellery</t>
        </is>
      </c>
      <c r="K212" s="62" t="n">
        <v>81</v>
      </c>
      <c r="L212" s="63" t="inlineStr">
        <is>
          <t>Sun Glass For Men High Quality &amp; Full Black Sunglass Stylish &amp; Fashionable Mate Black Frame</t>
        </is>
      </c>
      <c r="M212" s="63" t="inlineStr">
        <is>
          <t xml:space="preserve">Connected </t>
        </is>
      </c>
      <c r="N212" s="79" t="inlineStr">
        <is>
          <t>Yes</t>
        </is>
      </c>
      <c r="O212" s="79" t="inlineStr">
        <is>
          <t>On time</t>
        </is>
      </c>
      <c r="P212" s="79" t="n"/>
      <c r="Q212" s="79" t="n"/>
      <c r="R212" s="79" t="inlineStr">
        <is>
          <t>Very polite</t>
        </is>
      </c>
      <c r="S212" s="79" t="inlineStr">
        <is>
          <t>Not Damaged</t>
        </is>
      </c>
      <c r="T212" s="79" t="inlineStr">
        <is>
          <t>Yes</t>
        </is>
      </c>
      <c r="U212" s="79" t="n"/>
      <c r="V212" s="79" t="n"/>
      <c r="W212" s="79" t="n">
        <v>10</v>
      </c>
      <c r="X212" s="79" t="n"/>
      <c r="Y212" s="79" t="inlineStr">
        <is>
          <t>Positive</t>
        </is>
      </c>
      <c r="Z212" s="79" t="n"/>
    </row>
    <row r="213">
      <c r="A213" s="63" t="n"/>
      <c r="B213" s="62" t="n">
        <v>25091777103798</v>
      </c>
      <c r="C213" s="58" t="n"/>
      <c r="D213" s="65" t="n"/>
      <c r="E213" s="62" t="n">
        <v>371252</v>
      </c>
      <c r="F213" s="63" t="inlineStr">
        <is>
          <t xml:space="preserve">Mr./Ms. </t>
        </is>
      </c>
      <c r="G213" s="60" t="n">
        <v>1713813969</v>
      </c>
      <c r="H213" s="61" t="inlineStr">
        <is>
          <t>Panchagarh</t>
        </is>
      </c>
      <c r="I213" s="63" t="inlineStr">
        <is>
          <t>FMCG</t>
        </is>
      </c>
      <c r="J213" s="63" t="inlineStr">
        <is>
          <t>Groceries</t>
        </is>
      </c>
      <c r="K213" s="62" t="n">
        <v>580</v>
      </c>
      <c r="L213" s="63" t="inlineStr">
        <is>
          <t>Minister Bright Wash Synthetic Detergent Powder Lemon &amp; Mint (Buy 2KG and Get 1 KG Free)</t>
        </is>
      </c>
      <c r="M213" s="63" t="n"/>
      <c r="N213" s="79" t="n"/>
      <c r="O213" s="79" t="n"/>
      <c r="P213" s="79" t="n"/>
      <c r="Q213" s="79" t="n"/>
      <c r="R213" s="79" t="n"/>
      <c r="S213" s="79" t="n"/>
      <c r="T213" s="79" t="n"/>
      <c r="U213" s="79" t="n"/>
      <c r="V213" s="79" t="n"/>
      <c r="W213" s="79" t="n"/>
      <c r="X213" s="79" t="n"/>
      <c r="Y213" s="79" t="n"/>
      <c r="Z213" s="79" t="n"/>
    </row>
    <row r="214">
      <c r="A214" s="63" t="n"/>
      <c r="B214" s="62" t="n">
        <v>25091787316903</v>
      </c>
      <c r="C214" s="58" t="n"/>
      <c r="D214" s="65" t="n"/>
      <c r="E214" s="62" t="n">
        <v>696797</v>
      </c>
      <c r="F214" s="63" t="inlineStr">
        <is>
          <t xml:space="preserve">Gotom Bonik </t>
        </is>
      </c>
      <c r="G214" s="60" t="n">
        <v>1779185278</v>
      </c>
      <c r="H214" s="66" t="inlineStr">
        <is>
          <t>Panchagarh</t>
        </is>
      </c>
      <c r="I214" s="63" t="inlineStr">
        <is>
          <t>Lifestyle</t>
        </is>
      </c>
      <c r="J214" s="63" t="inlineStr">
        <is>
          <t>Tools, DIY  Outdoor</t>
        </is>
      </c>
      <c r="K214" s="62" t="n">
        <v>320</v>
      </c>
      <c r="L214" s="63" t="inlineStr">
        <is>
          <t>10Pcs File Sets 140mm Metal NEEDLES FILE Set 10Pcs 3x140mm Needle Set Files Glass Stone For Metal Ceramic Glass Stone Jewelry Diamond Wood Carving Craft Hand Tools Sets</t>
        </is>
      </c>
      <c r="M214" s="63" t="n"/>
      <c r="N214" s="79" t="n"/>
      <c r="O214" s="79" t="n"/>
      <c r="P214" s="79" t="n"/>
      <c r="Q214" s="79" t="n"/>
      <c r="R214" s="79" t="n"/>
      <c r="S214" s="79" t="n"/>
      <c r="T214" s="79" t="n"/>
      <c r="U214" s="79" t="n"/>
      <c r="V214" s="79" t="n"/>
      <c r="W214" s="79" t="n"/>
      <c r="X214" s="79" t="n"/>
      <c r="Y214" s="79" t="n"/>
      <c r="Z214" s="79" t="n"/>
    </row>
    <row r="215">
      <c r="A215" s="63" t="n"/>
      <c r="B215" s="62" t="n">
        <v>25091614954937</v>
      </c>
      <c r="C215" s="67" t="inlineStr">
        <is>
          <t>Mir Ahsan Abid</t>
        </is>
      </c>
      <c r="D215" s="63" t="n"/>
      <c r="E215" s="62" t="n">
        <v>571456</v>
      </c>
      <c r="F215" s="63" t="inlineStr">
        <is>
          <t>Anup Karmoker</t>
        </is>
      </c>
      <c r="G215" s="60" t="n">
        <v>1727030298</v>
      </c>
      <c r="H215" s="66" t="inlineStr">
        <is>
          <t>Patuakhali</t>
        </is>
      </c>
      <c r="I215" s="63" t="inlineStr">
        <is>
          <t>Lifestyle</t>
        </is>
      </c>
      <c r="J215" s="63" t="inlineStr">
        <is>
          <t>Motors</t>
        </is>
      </c>
      <c r="K215" s="62" t="n">
        <v>2970</v>
      </c>
      <c r="L215" s="63" t="inlineStr">
        <is>
          <t>Shell Advance Ultra 10W-40 100% Synthetic Engine Oil for Motorbike – 1 Litre</t>
        </is>
      </c>
      <c r="M215" s="63" t="inlineStr">
        <is>
          <t xml:space="preserve">Connected </t>
        </is>
      </c>
      <c r="N215" s="79" t="inlineStr">
        <is>
          <t>Yes</t>
        </is>
      </c>
      <c r="O215" s="79" t="inlineStr">
        <is>
          <t>On time</t>
        </is>
      </c>
      <c r="P215" s="79" t="n"/>
      <c r="Q215" s="79" t="n"/>
      <c r="R215" s="79" t="inlineStr">
        <is>
          <t>Neutral</t>
        </is>
      </c>
      <c r="S215" s="79" t="inlineStr">
        <is>
          <t>Not Damaged</t>
        </is>
      </c>
      <c r="T215" s="79" t="inlineStr">
        <is>
          <t>Yes</t>
        </is>
      </c>
      <c r="U215" s="79" t="n"/>
      <c r="V215" s="79" t="n"/>
      <c r="W215" s="79" t="n">
        <v>8</v>
      </c>
      <c r="X215" s="79" t="n"/>
      <c r="Y215" s="79" t="inlineStr">
        <is>
          <t>Positive</t>
        </is>
      </c>
      <c r="Z215" s="79" t="n"/>
    </row>
    <row r="216">
      <c r="A216" s="63" t="n"/>
      <c r="B216" s="62" t="n">
        <v>25091619699390</v>
      </c>
      <c r="C216" s="67" t="inlineStr">
        <is>
          <t>Mir Ahsan Abid</t>
        </is>
      </c>
      <c r="D216" s="63" t="n"/>
      <c r="E216" s="62" t="n">
        <v>665698</v>
      </c>
      <c r="F216" s="63" t="inlineStr">
        <is>
          <t xml:space="preserve">Md Naim akon </t>
        </is>
      </c>
      <c r="G216" s="60" t="n">
        <v>1757091625</v>
      </c>
      <c r="H216" s="66" t="inlineStr">
        <is>
          <t>Patuakhali</t>
        </is>
      </c>
      <c r="I216" s="63" t="inlineStr">
        <is>
          <t>Electronics</t>
        </is>
      </c>
      <c r="J216" s="63" t="inlineStr">
        <is>
          <t>TV, Audio / Video, Gaming  Wearables</t>
        </is>
      </c>
      <c r="K216" s="62" t="n">
        <v>1015</v>
      </c>
      <c r="L216" s="63" t="inlineStr">
        <is>
          <t>Realme Buds Wireless 3 neckband with Active Noise Cancellation Mastercopy</t>
        </is>
      </c>
      <c r="M216" s="63" t="inlineStr">
        <is>
          <t xml:space="preserve">Connected </t>
        </is>
      </c>
      <c r="N216" s="79" t="inlineStr">
        <is>
          <t>Yes</t>
        </is>
      </c>
      <c r="O216" s="79" t="inlineStr">
        <is>
          <t>On time</t>
        </is>
      </c>
      <c r="P216" s="79" t="n"/>
      <c r="Q216" s="79" t="n"/>
      <c r="R216" s="79" t="inlineStr">
        <is>
          <t>Neutral</t>
        </is>
      </c>
      <c r="S216" s="79" t="inlineStr">
        <is>
          <t>Not Damaged</t>
        </is>
      </c>
      <c r="T216" s="79" t="inlineStr">
        <is>
          <t>Yes</t>
        </is>
      </c>
      <c r="U216" s="79" t="n"/>
      <c r="V216" s="79" t="n"/>
      <c r="W216" s="79" t="n">
        <v>8</v>
      </c>
      <c r="X216" s="79" t="n"/>
      <c r="Y216" s="79" t="inlineStr">
        <is>
          <t>Neutral</t>
        </is>
      </c>
      <c r="Z216" s="79" t="n"/>
    </row>
    <row r="217">
      <c r="A217" s="63" t="n"/>
      <c r="B217" s="62" t="n">
        <v>25091622819628</v>
      </c>
      <c r="C217" s="67" t="inlineStr">
        <is>
          <t>Mir Ahsan Abid</t>
        </is>
      </c>
      <c r="D217" s="63" t="n"/>
      <c r="E217" s="62" t="n">
        <v>687282</v>
      </c>
      <c r="F217" s="63" t="inlineStr">
        <is>
          <t xml:space="preserve">Mr./Ms. </t>
        </is>
      </c>
      <c r="G217" s="60" t="n">
        <v>1759536825</v>
      </c>
      <c r="H217" s="66" t="inlineStr">
        <is>
          <t>Patuakhali</t>
        </is>
      </c>
      <c r="I217" s="63" t="inlineStr">
        <is>
          <t>Electronics</t>
        </is>
      </c>
      <c r="J217" s="63" t="inlineStr">
        <is>
          <t>Mobiles  Tablets</t>
        </is>
      </c>
      <c r="K217" s="62" t="n">
        <v>108</v>
      </c>
      <c r="L217" s="63" t="inlineStr">
        <is>
          <t>Premium Quality Mobile Phone Back Cover for Oppo Reno12 Pro 5G</t>
        </is>
      </c>
      <c r="M217" s="63" t="inlineStr">
        <is>
          <t xml:space="preserve">Connected </t>
        </is>
      </c>
      <c r="N217" s="79" t="inlineStr">
        <is>
          <t>Yes</t>
        </is>
      </c>
      <c r="O217" s="79" t="inlineStr">
        <is>
          <t>On time</t>
        </is>
      </c>
      <c r="P217" s="79" t="n"/>
      <c r="Q217" s="79" t="n"/>
      <c r="R217" s="79" t="inlineStr">
        <is>
          <t>Very polite</t>
        </is>
      </c>
      <c r="S217" s="79" t="inlineStr">
        <is>
          <t>Not Damaged</t>
        </is>
      </c>
      <c r="T217" s="79" t="inlineStr">
        <is>
          <t>Didn't check</t>
        </is>
      </c>
      <c r="U217" s="79" t="n"/>
      <c r="V217" s="79" t="n"/>
      <c r="W217" s="79" t="n">
        <v>10</v>
      </c>
      <c r="X217" s="79" t="n"/>
      <c r="Y217" s="79" t="inlineStr">
        <is>
          <t>Neutral</t>
        </is>
      </c>
      <c r="Z217" s="79" t="n"/>
    </row>
    <row r="218">
      <c r="A218" s="63" t="n"/>
      <c r="B218" s="62" t="n">
        <v>25091643769325</v>
      </c>
      <c r="C218" s="58" t="n"/>
      <c r="D218" s="65" t="n"/>
      <c r="E218" s="62" t="n">
        <v>682156</v>
      </c>
      <c r="F218" s="63" t="inlineStr">
        <is>
          <t xml:space="preserve">Israt jahan </t>
        </is>
      </c>
      <c r="G218" s="60" t="n">
        <v>1782871215</v>
      </c>
      <c r="H218" s="61" t="inlineStr">
        <is>
          <t>Patuakhali</t>
        </is>
      </c>
      <c r="I218" s="63" t="inlineStr">
        <is>
          <t>Lifestyle</t>
        </is>
      </c>
      <c r="J218" s="63" t="inlineStr">
        <is>
          <t>Toys  Games</t>
        </is>
      </c>
      <c r="K218" s="62" t="n">
        <v>170</v>
      </c>
      <c r="L218" s="63" t="inlineStr">
        <is>
          <t>Super Light Clay 12Pcs Wholesale Price</t>
        </is>
      </c>
      <c r="M218" s="63" t="n"/>
      <c r="N218" s="79" t="n"/>
      <c r="O218" s="79" t="n"/>
      <c r="P218" s="79" t="n"/>
      <c r="Q218" s="79" t="n"/>
      <c r="R218" s="79" t="n"/>
      <c r="S218" s="79" t="n"/>
      <c r="T218" s="79" t="n"/>
      <c r="U218" s="79" t="n"/>
      <c r="V218" s="79" t="n"/>
      <c r="W218" s="79" t="n"/>
      <c r="X218" s="79" t="n"/>
      <c r="Y218" s="79" t="n"/>
      <c r="Z218" s="79" t="n"/>
    </row>
    <row r="219">
      <c r="A219" s="63" t="n"/>
      <c r="B219" s="62" t="n">
        <v>25091644306656</v>
      </c>
      <c r="C219" s="58" t="n"/>
      <c r="D219" s="65" t="n"/>
      <c r="E219" s="62" t="n">
        <v>670622</v>
      </c>
      <c r="F219" s="63" t="inlineStr">
        <is>
          <t xml:space="preserve">Mr./Ms. </t>
        </is>
      </c>
      <c r="G219" s="60" t="n">
        <v>1915576155</v>
      </c>
      <c r="H219" s="66" t="inlineStr">
        <is>
          <t>Pirojpur</t>
        </is>
      </c>
      <c r="I219" s="63" t="inlineStr">
        <is>
          <t>FMCG</t>
        </is>
      </c>
      <c r="J219" s="63" t="inlineStr">
        <is>
          <t>Groceries</t>
        </is>
      </c>
      <c r="K219" s="62" t="n">
        <v>625</v>
      </c>
      <c r="L219" s="63" t="inlineStr">
        <is>
          <t>Starship Full Cream Milk Powder - 1 Kg</t>
        </is>
      </c>
      <c r="M219" s="63" t="n"/>
      <c r="N219" s="79" t="n"/>
      <c r="O219" s="79" t="n"/>
      <c r="P219" s="79" t="n"/>
      <c r="Q219" s="79" t="n"/>
      <c r="R219" s="79" t="n"/>
      <c r="S219" s="79" t="n"/>
      <c r="T219" s="79" t="n"/>
      <c r="U219" s="79" t="n"/>
      <c r="V219" s="79" t="n"/>
      <c r="W219" s="79" t="n"/>
      <c r="X219" s="79" t="n"/>
      <c r="Y219" s="79" t="n"/>
      <c r="Z219" s="79" t="n"/>
    </row>
    <row r="220">
      <c r="A220" s="63" t="n"/>
      <c r="B220" s="62" t="n">
        <v>25091648598074</v>
      </c>
      <c r="C220" s="58" t="n"/>
      <c r="D220" s="65" t="n"/>
      <c r="E220" s="62" t="n">
        <v>612355</v>
      </c>
      <c r="F220" s="63" t="inlineStr">
        <is>
          <t xml:space="preserve">Ômî Sîkdér Ôróññö </t>
        </is>
      </c>
      <c r="G220" s="60" t="n">
        <v>1615859916</v>
      </c>
      <c r="H220" s="66" t="inlineStr">
        <is>
          <t>Pirojpur</t>
        </is>
      </c>
      <c r="I220" s="63" t="inlineStr">
        <is>
          <t>FMCG</t>
        </is>
      </c>
      <c r="J220" s="63" t="inlineStr">
        <is>
          <t>Mother  Baby</t>
        </is>
      </c>
      <c r="K220" s="62" t="n">
        <v>855</v>
      </c>
      <c r="L220" s="63" t="inlineStr">
        <is>
          <t>Savlon Twinkle Baby Pant Diaper Small 60 pcs</t>
        </is>
      </c>
      <c r="M220" s="63" t="n"/>
      <c r="N220" s="79" t="n"/>
      <c r="O220" s="79" t="n"/>
      <c r="P220" s="79" t="n"/>
      <c r="Q220" s="79" t="n"/>
      <c r="R220" s="79" t="n"/>
      <c r="S220" s="79" t="n"/>
      <c r="T220" s="79" t="n"/>
      <c r="U220" s="79" t="n"/>
      <c r="V220" s="79" t="n"/>
      <c r="W220" s="79" t="n"/>
      <c r="X220" s="79" t="n"/>
      <c r="Y220" s="79" t="n"/>
      <c r="Z220" s="79" t="n"/>
    </row>
    <row r="221">
      <c r="A221" s="63" t="n"/>
      <c r="B221" s="62" t="n">
        <v>25091678183274</v>
      </c>
      <c r="C221" s="58" t="n"/>
      <c r="D221" s="65" t="n"/>
      <c r="E221" s="62" t="n">
        <v>684668</v>
      </c>
      <c r="F221" s="63" t="inlineStr">
        <is>
          <t xml:space="preserve">Saifa Siddika </t>
        </is>
      </c>
      <c r="G221" s="60" t="n">
        <v>1724917240</v>
      </c>
      <c r="H221" s="66" t="inlineStr">
        <is>
          <t>Pirojpur</t>
        </is>
      </c>
      <c r="I221" s="63" t="inlineStr">
        <is>
          <t>Fashion</t>
        </is>
      </c>
      <c r="J221" s="63" t="inlineStr">
        <is>
          <t>Fashion</t>
        </is>
      </c>
      <c r="K221" s="62" t="n">
        <v>99</v>
      </c>
      <c r="L221" s="63" t="inlineStr">
        <is>
          <t>Ladies Cami Dress multi color - 1 pcs</t>
        </is>
      </c>
      <c r="M221" s="63" t="n"/>
      <c r="N221" s="79" t="n"/>
      <c r="O221" s="79" t="n"/>
      <c r="P221" s="79" t="n"/>
      <c r="Q221" s="79" t="n"/>
      <c r="R221" s="79" t="n"/>
      <c r="S221" s="79" t="n"/>
      <c r="T221" s="79" t="n"/>
      <c r="U221" s="79" t="n"/>
      <c r="V221" s="79" t="n"/>
      <c r="W221" s="79" t="n"/>
      <c r="X221" s="79" t="n"/>
      <c r="Y221" s="79" t="n"/>
      <c r="Z221" s="79" t="n"/>
    </row>
    <row r="222">
      <c r="A222" s="63" t="n"/>
      <c r="B222" s="62" t="n">
        <v>25091763601943</v>
      </c>
      <c r="C222" s="58" t="n"/>
      <c r="D222" s="65" t="n"/>
      <c r="E222" s="62" t="n">
        <v>697896</v>
      </c>
      <c r="F222" s="63" t="inlineStr">
        <is>
          <t xml:space="preserve">Uconncet WiFi </t>
        </is>
      </c>
      <c r="G222" s="60" t="n">
        <v>1778626469</v>
      </c>
      <c r="H222" s="61" t="inlineStr">
        <is>
          <t>Pirojpur</t>
        </is>
      </c>
      <c r="I222" s="63" t="inlineStr">
        <is>
          <t>Fashion</t>
        </is>
      </c>
      <c r="J222" s="63" t="inlineStr">
        <is>
          <t>Fashion</t>
        </is>
      </c>
      <c r="K222" s="62" t="n">
        <v>280</v>
      </c>
      <c r="L222" s="63" t="inlineStr">
        <is>
          <t>Lotto Comfortable Slipper Sandal for Men</t>
        </is>
      </c>
      <c r="M222" s="63" t="n"/>
      <c r="N222" s="79" t="n"/>
      <c r="O222" s="79" t="n"/>
      <c r="P222" s="79" t="n"/>
      <c r="Q222" s="79" t="n"/>
      <c r="R222" s="79" t="n"/>
      <c r="S222" s="79" t="n"/>
      <c r="T222" s="79" t="n"/>
      <c r="U222" s="79" t="n"/>
      <c r="V222" s="79" t="n"/>
      <c r="W222" s="79" t="n"/>
      <c r="X222" s="79" t="n"/>
      <c r="Y222" s="79" t="n"/>
      <c r="Z222" s="79" t="n"/>
    </row>
    <row r="223">
      <c r="A223" s="63" t="n"/>
      <c r="B223" s="62" t="n">
        <v>25091629794277</v>
      </c>
      <c r="C223" s="58" t="n"/>
      <c r="D223" s="63" t="n"/>
      <c r="E223" s="62" t="n">
        <v>690471</v>
      </c>
      <c r="F223" s="63" t="inlineStr">
        <is>
          <t xml:space="preserve">Ahasan Habib </t>
        </is>
      </c>
      <c r="G223" s="60" t="n">
        <v>1577001297</v>
      </c>
      <c r="H223" s="61" t="inlineStr">
        <is>
          <t>Rajbari</t>
        </is>
      </c>
      <c r="I223" s="63" t="inlineStr">
        <is>
          <t>Fashion</t>
        </is>
      </c>
      <c r="J223" s="63" t="inlineStr">
        <is>
          <t>Watches Sunglasses Jewellery</t>
        </is>
      </c>
      <c r="K223" s="62" t="n">
        <v>1550</v>
      </c>
      <c r="L223" s="63" t="inlineStr">
        <is>
          <t>Olevs 9943F  Stainless Steel Quartz Analog Wrist Watch For Women</t>
        </is>
      </c>
      <c r="M223" s="63" t="inlineStr">
        <is>
          <t xml:space="preserve">Connected </t>
        </is>
      </c>
      <c r="N223" s="79" t="inlineStr">
        <is>
          <t>Yes</t>
        </is>
      </c>
      <c r="O223" s="79" t="inlineStr">
        <is>
          <t>On time</t>
        </is>
      </c>
      <c r="P223" s="79" t="n"/>
      <c r="Q223" s="79" t="n"/>
      <c r="R223" s="79" t="inlineStr">
        <is>
          <t>Very polite</t>
        </is>
      </c>
      <c r="S223" s="79" t="inlineStr">
        <is>
          <t>Not Damaged</t>
        </is>
      </c>
      <c r="T223" s="79" t="inlineStr">
        <is>
          <t>Didn't check</t>
        </is>
      </c>
      <c r="U223" s="79" t="inlineStr">
        <is>
          <t xml:space="preserve">According to customer not original Olevs product. </t>
        </is>
      </c>
      <c r="V223" s="79" t="n"/>
      <c r="W223" s="79" t="n">
        <v>10</v>
      </c>
      <c r="X223" s="79" t="n"/>
      <c r="Y223" s="79" t="inlineStr">
        <is>
          <t>Neutral</t>
        </is>
      </c>
      <c r="Z223" s="79" t="n"/>
    </row>
    <row r="224">
      <c r="A224" s="63" t="n"/>
      <c r="B224" s="62" t="n">
        <v>25091643509666</v>
      </c>
      <c r="C224" s="58" t="n"/>
      <c r="D224" s="65" t="n"/>
      <c r="E224" s="62" t="n">
        <v>692694</v>
      </c>
      <c r="F224" s="63" t="inlineStr">
        <is>
          <t xml:space="preserve">Mr./Ms. </t>
        </is>
      </c>
      <c r="G224" s="60" t="n">
        <v>1719476758</v>
      </c>
      <c r="H224" s="61" t="inlineStr">
        <is>
          <t>Rajbari</t>
        </is>
      </c>
      <c r="I224" s="63" t="inlineStr">
        <is>
          <t>Lifestyle</t>
        </is>
      </c>
      <c r="J224" s="63" t="inlineStr">
        <is>
          <t>Sports  Outdoors</t>
        </is>
      </c>
      <c r="K224" s="62" t="n">
        <v>295</v>
      </c>
      <c r="L224" s="63" t="inlineStr">
        <is>
          <t>High-Power Rechargeable Led Headlamp With Built-In 18650 Battery - Waterproof Head Torch Light For Versatile Use</t>
        </is>
      </c>
      <c r="M224" s="63" t="n"/>
      <c r="N224" s="79" t="n"/>
      <c r="O224" s="79" t="n"/>
      <c r="P224" s="79" t="n"/>
      <c r="Q224" s="79" t="n"/>
      <c r="R224" s="79" t="n"/>
      <c r="S224" s="79" t="n"/>
      <c r="T224" s="79" t="n"/>
      <c r="U224" s="79" t="n"/>
      <c r="V224" s="79" t="n"/>
      <c r="W224" s="79" t="n"/>
      <c r="X224" s="79" t="n"/>
      <c r="Y224" s="79" t="n"/>
      <c r="Z224" s="79" t="n"/>
    </row>
    <row r="225">
      <c r="A225" s="63" t="n"/>
      <c r="B225" s="62" t="n">
        <v>25091669484951</v>
      </c>
      <c r="C225" s="58" t="n"/>
      <c r="D225" s="65" t="n"/>
      <c r="E225" s="62" t="n">
        <v>438791</v>
      </c>
      <c r="F225" s="63" t="inlineStr">
        <is>
          <t>Bappa Sharma</t>
        </is>
      </c>
      <c r="G225" s="60" t="n">
        <v>1629711979</v>
      </c>
      <c r="H225" s="61" t="inlineStr">
        <is>
          <t>Rajbari</t>
        </is>
      </c>
      <c r="I225" s="63" t="inlineStr">
        <is>
          <t>Lifestyle</t>
        </is>
      </c>
      <c r="J225" s="63" t="inlineStr">
        <is>
          <t>Tools, DIY  Outdoor</t>
        </is>
      </c>
      <c r="K225" s="62" t="n">
        <v>43</v>
      </c>
      <c r="L225" s="63" t="inlineStr">
        <is>
          <t>SAFF Indian Antifungus For Plant - 10 Gram (Loose Pack)</t>
        </is>
      </c>
      <c r="M225" s="63" t="n"/>
      <c r="N225" s="79" t="n"/>
      <c r="O225" s="79" t="n"/>
      <c r="P225" s="79" t="n"/>
      <c r="Q225" s="79" t="n"/>
      <c r="R225" s="79" t="n"/>
      <c r="S225" s="79" t="n"/>
      <c r="T225" s="79" t="n"/>
      <c r="U225" s="79" t="n"/>
      <c r="V225" s="79" t="n"/>
      <c r="W225" s="79" t="n"/>
      <c r="X225" s="79" t="n"/>
      <c r="Y225" s="79" t="n"/>
      <c r="Z225" s="79" t="n"/>
    </row>
    <row r="226">
      <c r="A226" s="63" t="n"/>
      <c r="B226" s="62" t="n">
        <v>25091671427819</v>
      </c>
      <c r="C226" s="58" t="n"/>
      <c r="D226" s="65" t="n"/>
      <c r="E226" s="62" t="n">
        <v>491472</v>
      </c>
      <c r="F226" s="63" t="inlineStr">
        <is>
          <t xml:space="preserve">Mr./Ms. </t>
        </is>
      </c>
      <c r="G226" s="60" t="n">
        <v>1303502081</v>
      </c>
      <c r="H226" s="61" t="inlineStr">
        <is>
          <t>Rajbari</t>
        </is>
      </c>
      <c r="I226" s="63" t="inlineStr">
        <is>
          <t>Lifestyle</t>
        </is>
      </c>
      <c r="J226" s="63" t="inlineStr">
        <is>
          <t>Tools, DIY  Outdoor</t>
        </is>
      </c>
      <c r="K226" s="62" t="n">
        <v>107</v>
      </c>
      <c r="L226" s="63" t="inlineStr">
        <is>
          <t>Tolsen 2pcs Snap-off Cutter with 10pcs Refill 30004 + 30012</t>
        </is>
      </c>
      <c r="M226" s="63" t="n"/>
      <c r="N226" s="79" t="n"/>
      <c r="O226" s="79" t="n"/>
      <c r="P226" s="79" t="n"/>
      <c r="Q226" s="79" t="n"/>
      <c r="R226" s="79" t="n"/>
      <c r="S226" s="79" t="n"/>
      <c r="T226" s="79" t="n"/>
      <c r="U226" s="79" t="n"/>
      <c r="V226" s="79" t="n"/>
      <c r="W226" s="79" t="n"/>
      <c r="X226" s="79" t="n"/>
      <c r="Y226" s="79" t="n"/>
      <c r="Z226" s="79" t="n"/>
    </row>
    <row r="227">
      <c r="A227" s="63" t="n"/>
      <c r="B227" s="62" t="n">
        <v>25091617448781</v>
      </c>
      <c r="C227" s="67" t="inlineStr">
        <is>
          <t>Mir Ahsan Abid</t>
        </is>
      </c>
      <c r="D227" s="63" t="n"/>
      <c r="E227" s="62" t="n">
        <v>689559</v>
      </c>
      <c r="F227" s="63" t="inlineStr">
        <is>
          <t xml:space="preserve">Zihad Hasan </t>
        </is>
      </c>
      <c r="G227" s="60" t="n">
        <v>1824973217</v>
      </c>
      <c r="H227" s="61" t="inlineStr">
        <is>
          <t>Rajshahi</t>
        </is>
      </c>
      <c r="I227" s="63" t="inlineStr">
        <is>
          <t>Fashion</t>
        </is>
      </c>
      <c r="J227" s="63" t="inlineStr">
        <is>
          <t>Fashion</t>
        </is>
      </c>
      <c r="K227" s="62" t="n">
        <v>126</v>
      </c>
      <c r="L227" s="63" t="inlineStr">
        <is>
          <t>Black Artificial Lether Soft Auto Gear Belt For Men - Belt For Men</t>
        </is>
      </c>
      <c r="M227" s="63" t="inlineStr">
        <is>
          <t>Not Connected</t>
        </is>
      </c>
      <c r="N227" s="79" t="n"/>
      <c r="O227" s="79" t="n"/>
      <c r="P227" s="79" t="n"/>
      <c r="Q227" s="79" t="n"/>
      <c r="R227" s="79" t="n"/>
      <c r="S227" s="79" t="n"/>
      <c r="T227" s="79" t="n"/>
      <c r="U227" s="79" t="n"/>
      <c r="V227" s="79" t="n"/>
      <c r="W227" s="79" t="n"/>
      <c r="X227" s="79" t="n"/>
      <c r="Y227" s="79" t="n"/>
      <c r="Z227" s="79" t="n"/>
    </row>
    <row r="228">
      <c r="A228" s="63" t="n"/>
      <c r="B228" s="62" t="n">
        <v>25091624316651</v>
      </c>
      <c r="C228" s="67" t="inlineStr">
        <is>
          <t>Mir Ahsan Abid</t>
        </is>
      </c>
      <c r="D228" s="63" t="n"/>
      <c r="E228" s="62" t="n">
        <v>37222</v>
      </c>
      <c r="F228" s="63" t="inlineStr">
        <is>
          <t>Saikat Siam</t>
        </is>
      </c>
      <c r="G228" s="60" t="n">
        <v>1782173150</v>
      </c>
      <c r="H228" s="66" t="inlineStr">
        <is>
          <t>Rajshahi</t>
        </is>
      </c>
      <c r="I228" s="63" t="inlineStr">
        <is>
          <t>Lifestyle</t>
        </is>
      </c>
      <c r="J228" s="63" t="inlineStr">
        <is>
          <t>Tools, DIY  Outdoor</t>
        </is>
      </c>
      <c r="K228" s="62" t="n">
        <v>115</v>
      </c>
      <c r="L228" s="63" t="inlineStr">
        <is>
          <t>Upgrade 3S 25A BMS 11.1V 12.6V 18650 Lithium Battery Protection Circuit Board with Balanced Charging System - Enhanced Battery Management</t>
        </is>
      </c>
      <c r="M228" s="63" t="inlineStr">
        <is>
          <t xml:space="preserve">Connected </t>
        </is>
      </c>
      <c r="N228" s="79" t="inlineStr">
        <is>
          <t>Yes</t>
        </is>
      </c>
      <c r="O228" s="79" t="inlineStr">
        <is>
          <t>On time</t>
        </is>
      </c>
      <c r="P228" s="79" t="n"/>
      <c r="Q228" s="79" t="n"/>
      <c r="R228" s="79" t="inlineStr">
        <is>
          <t>Very polite</t>
        </is>
      </c>
      <c r="S228" s="79" t="inlineStr">
        <is>
          <t>Not Damaged</t>
        </is>
      </c>
      <c r="T228" s="79" t="inlineStr">
        <is>
          <t>Yes</t>
        </is>
      </c>
      <c r="U228" s="79" t="n"/>
      <c r="V228" s="79" t="n"/>
      <c r="W228" s="79" t="n">
        <v>8</v>
      </c>
      <c r="X228" s="79" t="n"/>
      <c r="Y228" s="79" t="inlineStr">
        <is>
          <t>Positive</t>
        </is>
      </c>
      <c r="Z228" s="79" t="n"/>
    </row>
    <row r="229">
      <c r="A229" s="63" t="n"/>
      <c r="B229" s="62" t="n">
        <v>25091634233355</v>
      </c>
      <c r="C229" s="58" t="n"/>
      <c r="D229" s="63" t="n"/>
      <c r="E229" s="62" t="n">
        <v>574045</v>
      </c>
      <c r="F229" s="63" t="inlineStr">
        <is>
          <t>MD AL AMIN HOSSAIN</t>
        </is>
      </c>
      <c r="G229" s="60" t="n">
        <v>1708498325</v>
      </c>
      <c r="H229" s="61" t="inlineStr">
        <is>
          <t>Rajshahi</t>
        </is>
      </c>
      <c r="I229" s="63" t="inlineStr">
        <is>
          <t>Lifestyle</t>
        </is>
      </c>
      <c r="J229" s="63" t="inlineStr">
        <is>
          <t>Tools, DIY  Outdoor</t>
        </is>
      </c>
      <c r="K229" s="62" t="n">
        <v>270</v>
      </c>
      <c r="L229" s="63" t="inlineStr">
        <is>
          <t>MK Fan Regulator Dimmer with Switch</t>
        </is>
      </c>
      <c r="M229" s="63" t="n"/>
      <c r="N229" s="79" t="n"/>
      <c r="O229" s="79" t="n"/>
      <c r="P229" s="79" t="n"/>
      <c r="Q229" s="79" t="n"/>
      <c r="R229" s="79" t="n"/>
      <c r="S229" s="79" t="n"/>
      <c r="T229" s="79" t="n"/>
      <c r="U229" s="79" t="n"/>
      <c r="V229" s="79" t="n"/>
      <c r="W229" s="79" t="n"/>
      <c r="X229" s="79" t="n"/>
      <c r="Y229" s="79" t="n"/>
      <c r="Z229" s="79" t="n"/>
    </row>
    <row r="230">
      <c r="A230" s="63" t="n"/>
      <c r="B230" s="62" t="n">
        <v>25091645517739</v>
      </c>
      <c r="C230" s="58" t="n"/>
      <c r="D230" s="65" t="n"/>
      <c r="E230" s="62" t="n">
        <v>689875</v>
      </c>
      <c r="F230" s="63" t="inlineStr">
        <is>
          <t xml:space="preserve">Khalid Hasan </t>
        </is>
      </c>
      <c r="G230" s="60" t="n">
        <v>1751655336</v>
      </c>
      <c r="H230" s="61" t="inlineStr">
        <is>
          <t>Rajshahi</t>
        </is>
      </c>
      <c r="I230" s="63" t="inlineStr">
        <is>
          <t>Electronics</t>
        </is>
      </c>
      <c r="J230" s="63" t="inlineStr">
        <is>
          <t>Mobiles  Tablets</t>
        </is>
      </c>
      <c r="K230" s="62" t="n">
        <v>148</v>
      </c>
      <c r="L230" s="63" t="inlineStr">
        <is>
          <t>Xiaomi Redmi Note 12 5G Back Cover (Transparent, Black)</t>
        </is>
      </c>
      <c r="M230" s="63" t="n"/>
      <c r="N230" s="79" t="n"/>
      <c r="O230" s="79" t="n"/>
      <c r="P230" s="79" t="n"/>
      <c r="Q230" s="79" t="n"/>
      <c r="R230" s="79" t="n"/>
      <c r="S230" s="79" t="n"/>
      <c r="T230" s="79" t="n"/>
      <c r="U230" s="79" t="n"/>
      <c r="V230" s="79" t="n"/>
      <c r="W230" s="79" t="n"/>
      <c r="X230" s="79" t="n"/>
      <c r="Y230" s="79" t="n"/>
      <c r="Z230" s="79" t="n"/>
    </row>
    <row r="231">
      <c r="A231" s="63" t="n"/>
      <c r="B231" s="62" t="n">
        <v>25091611482565</v>
      </c>
      <c r="C231" s="67" t="inlineStr">
        <is>
          <t>Mir Ahsan Abid</t>
        </is>
      </c>
      <c r="D231" s="63" t="n"/>
      <c r="E231" s="62" t="n">
        <v>234618</v>
      </c>
      <c r="F231" s="63" t="inlineStr">
        <is>
          <t xml:space="preserve">martanda chakma </t>
        </is>
      </c>
      <c r="G231" s="60" t="n">
        <v>1553759350</v>
      </c>
      <c r="H231" s="66" t="inlineStr">
        <is>
          <t>Rangamati</t>
        </is>
      </c>
      <c r="I231" s="63" t="inlineStr">
        <is>
          <t>Lifestyle</t>
        </is>
      </c>
      <c r="J231" s="63" t="inlineStr">
        <is>
          <t>Tools, DIY  Outdoor</t>
        </is>
      </c>
      <c r="K231" s="62" t="n">
        <v>275</v>
      </c>
      <c r="L231" s="63" t="inlineStr">
        <is>
          <t>Universal Wall Switch Socket - 8 Pin Universal Socket- Only Socket</t>
        </is>
      </c>
      <c r="M231" s="63" t="inlineStr">
        <is>
          <t>Not Connected</t>
        </is>
      </c>
      <c r="N231" s="79" t="n"/>
      <c r="O231" s="79" t="n"/>
      <c r="P231" s="79" t="n"/>
      <c r="Q231" s="79" t="n"/>
      <c r="R231" s="79" t="n"/>
      <c r="S231" s="79" t="n"/>
      <c r="T231" s="79" t="n"/>
      <c r="U231" s="79" t="n"/>
      <c r="V231" s="79" t="n"/>
      <c r="W231" s="79" t="n"/>
      <c r="X231" s="69" t="n"/>
      <c r="Y231" s="79" t="n"/>
      <c r="Z231" s="79" t="n"/>
    </row>
    <row r="232">
      <c r="A232" s="63" t="n"/>
      <c r="B232" s="62" t="n">
        <v>25091632249387</v>
      </c>
      <c r="C232" s="58" t="n"/>
      <c r="D232" s="63" t="n"/>
      <c r="E232" s="62" t="n">
        <v>671186</v>
      </c>
      <c r="F232" s="63" t="inlineStr">
        <is>
          <t xml:space="preserve">pranjal Media </t>
        </is>
      </c>
      <c r="G232" s="60" t="n">
        <v>1690071144</v>
      </c>
      <c r="H232" s="61" t="inlineStr">
        <is>
          <t>Rangamati</t>
        </is>
      </c>
      <c r="I232" s="63" t="inlineStr">
        <is>
          <t>Lifestyle</t>
        </is>
      </c>
      <c r="J232" s="63" t="inlineStr">
        <is>
          <t>Tools, DIY  Outdoor</t>
        </is>
      </c>
      <c r="K232" s="62" t="n">
        <v>122</v>
      </c>
      <c r="L232" s="63" t="inlineStr">
        <is>
          <t>50Pcs- 2Pin MICRO USB Female Socket Type-B 2 Pin Leads Female DIP Power Socket Connector Micro USB Panel Mount Without Cables For Charging Socket LED Light DIY</t>
        </is>
      </c>
      <c r="M232" s="63" t="n"/>
      <c r="N232" s="79" t="n"/>
      <c r="O232" s="79" t="n"/>
      <c r="P232" s="79" t="n"/>
      <c r="Q232" s="79" t="n"/>
      <c r="R232" s="79" t="n"/>
      <c r="S232" s="79" t="n"/>
      <c r="T232" s="79" t="n"/>
      <c r="U232" s="79" t="n"/>
      <c r="V232" s="79" t="n"/>
      <c r="W232" s="79" t="n"/>
      <c r="X232" s="79" t="n"/>
      <c r="Y232" s="79" t="n"/>
      <c r="Z232" s="79" t="n"/>
    </row>
    <row r="233">
      <c r="A233" s="63" t="n"/>
      <c r="B233" s="62" t="n">
        <v>25091644042988</v>
      </c>
      <c r="C233" s="58" t="n"/>
      <c r="D233" s="65" t="n"/>
      <c r="E233" s="62" t="n">
        <v>639498</v>
      </c>
      <c r="F233" s="63" t="inlineStr">
        <is>
          <t xml:space="preserve">Ramthar Pangkhua </t>
        </is>
      </c>
      <c r="G233" s="60" t="n">
        <v>1557240548</v>
      </c>
      <c r="H233" s="66" t="inlineStr">
        <is>
          <t>Rangamati</t>
        </is>
      </c>
      <c r="I233" s="63" t="inlineStr">
        <is>
          <t>Lifestyle</t>
        </is>
      </c>
      <c r="J233" s="63" t="inlineStr">
        <is>
          <t>Sports  Outdoors</t>
        </is>
      </c>
      <c r="K233" s="62" t="n">
        <v>244</v>
      </c>
      <c r="L233" s="63" t="inlineStr">
        <is>
          <t>Fishing Net Trap Mesh Luminous Beads Copper Spring Shoal Netting Bait Feeder Fishing Traps Nets Fishnet Tackle Fishing Tools</t>
        </is>
      </c>
      <c r="M233" s="63" t="n"/>
      <c r="N233" s="79" t="n"/>
      <c r="O233" s="79" t="n"/>
      <c r="P233" s="79" t="n"/>
      <c r="Q233" s="79" t="n"/>
      <c r="R233" s="79" t="n"/>
      <c r="S233" s="79" t="n"/>
      <c r="T233" s="79" t="n"/>
      <c r="U233" s="79" t="n"/>
      <c r="V233" s="79" t="n"/>
      <c r="W233" s="79" t="n"/>
      <c r="X233" s="79" t="n"/>
      <c r="Y233" s="79" t="n"/>
      <c r="Z233" s="79" t="n"/>
    </row>
    <row r="234">
      <c r="A234" s="63" t="n"/>
      <c r="B234" s="62" t="n">
        <v>25091788566623</v>
      </c>
      <c r="C234" s="58" t="n"/>
      <c r="D234" s="65" t="n"/>
      <c r="E234" s="62" t="n">
        <v>691030</v>
      </c>
      <c r="F234" s="63" t="inlineStr">
        <is>
          <t xml:space="preserve">Mr./Ms. </t>
        </is>
      </c>
      <c r="G234" s="60" t="n">
        <v>1853920414</v>
      </c>
      <c r="H234" s="61" t="inlineStr">
        <is>
          <t>Rangamati</t>
        </is>
      </c>
      <c r="I234" s="63" t="inlineStr">
        <is>
          <t>Fashion</t>
        </is>
      </c>
      <c r="J234" s="63" t="inlineStr">
        <is>
          <t>Watches Sunglasses Jewellery</t>
        </is>
      </c>
      <c r="K234" s="62" t="n">
        <v>1733</v>
      </c>
      <c r="L234" s="63" t="inlineStr">
        <is>
          <t>Casio Vintage Digital Resin Belt Watch F-91WG-9QDF</t>
        </is>
      </c>
      <c r="M234" s="63" t="n"/>
      <c r="N234" s="79" t="n"/>
      <c r="O234" s="79" t="n"/>
      <c r="P234" s="79" t="n"/>
      <c r="Q234" s="79" t="n"/>
      <c r="R234" s="79" t="n"/>
      <c r="S234" s="79" t="n"/>
      <c r="T234" s="79" t="n"/>
      <c r="U234" s="79" t="n"/>
      <c r="V234" s="79" t="n"/>
      <c r="W234" s="79" t="n"/>
      <c r="X234" s="79" t="n"/>
      <c r="Y234" s="79" t="n"/>
      <c r="Z234" s="79" t="n"/>
    </row>
    <row r="235">
      <c r="A235" s="63" t="n"/>
      <c r="B235" s="62" t="n">
        <v>25091623845234</v>
      </c>
      <c r="C235" s="67" t="inlineStr">
        <is>
          <t>Mir Ahsan Abid</t>
        </is>
      </c>
      <c r="D235" s="63" t="n"/>
      <c r="E235" s="62" t="n">
        <v>671316</v>
      </c>
      <c r="F235" s="63" t="inlineStr">
        <is>
          <t xml:space="preserve">Mr./Ms. </t>
        </is>
      </c>
      <c r="G235" s="60" t="n">
        <v>1610176796</v>
      </c>
      <c r="H235" s="66" t="inlineStr">
        <is>
          <t>Rangpur</t>
        </is>
      </c>
      <c r="I235" s="63" t="inlineStr">
        <is>
          <t>FMCG</t>
        </is>
      </c>
      <c r="J235" s="63" t="inlineStr">
        <is>
          <t>Groceries</t>
        </is>
      </c>
      <c r="K235" s="62" t="n">
        <v>71</v>
      </c>
      <c r="L235" s="63" t="inlineStr">
        <is>
          <t>Partex Cleen Toilet Tissue White (4 Roll Combo) - Ultra Soft</t>
        </is>
      </c>
      <c r="M235" s="63" t="inlineStr">
        <is>
          <t xml:space="preserve">Connected </t>
        </is>
      </c>
      <c r="N235" s="79" t="inlineStr">
        <is>
          <t>Yes</t>
        </is>
      </c>
      <c r="O235" s="79" t="inlineStr">
        <is>
          <t>Earlier than expected</t>
        </is>
      </c>
      <c r="P235" s="79" t="n"/>
      <c r="Q235" s="79" t="n"/>
      <c r="R235" s="79" t="inlineStr">
        <is>
          <t>Very polite</t>
        </is>
      </c>
      <c r="S235" s="79" t="inlineStr">
        <is>
          <t>Not Damaged</t>
        </is>
      </c>
      <c r="T235" s="79" t="inlineStr">
        <is>
          <t>Yes</t>
        </is>
      </c>
      <c r="U235" s="79" t="n"/>
      <c r="V235" s="79" t="n"/>
      <c r="W235" s="79" t="n">
        <v>10</v>
      </c>
      <c r="X235" s="79" t="n"/>
      <c r="Y235" s="79" t="inlineStr">
        <is>
          <t>Positive</t>
        </is>
      </c>
      <c r="Z235" s="79" t="n"/>
    </row>
    <row r="236">
      <c r="A236" s="63" t="n"/>
      <c r="B236" s="62" t="n">
        <v>25091647536574</v>
      </c>
      <c r="C236" s="58" t="n"/>
      <c r="D236" s="65" t="n"/>
      <c r="E236" s="62" t="n">
        <v>687209</v>
      </c>
      <c r="F236" s="63" t="inlineStr">
        <is>
          <t xml:space="preserve">Shohel Chowdhury </t>
        </is>
      </c>
      <c r="G236" s="60" t="n">
        <v>1735584501</v>
      </c>
      <c r="H236" s="66" t="inlineStr">
        <is>
          <t>Rangpur</t>
        </is>
      </c>
      <c r="I236" s="63" t="inlineStr">
        <is>
          <t>Electronics</t>
        </is>
      </c>
      <c r="J236" s="63" t="inlineStr">
        <is>
          <t>Home Appliances</t>
        </is>
      </c>
      <c r="K236" s="62" t="n">
        <v>436</v>
      </c>
      <c r="L236" s="63" t="inlineStr">
        <is>
          <t>Swap International Mini Air Humidifier Usb Charging Mist Spray Moisturizing Diffuser White</t>
        </is>
      </c>
      <c r="M236" s="63" t="n"/>
      <c r="N236" s="79" t="n"/>
      <c r="O236" s="79" t="n"/>
      <c r="P236" s="79" t="n"/>
      <c r="Q236" s="79" t="n"/>
      <c r="R236" s="79" t="n"/>
      <c r="S236" s="79" t="n"/>
      <c r="T236" s="79" t="n"/>
      <c r="U236" s="79" t="n"/>
      <c r="V236" s="79" t="n"/>
      <c r="W236" s="79" t="n"/>
      <c r="X236" s="79" t="n"/>
      <c r="Y236" s="79" t="n"/>
      <c r="Z236" s="79" t="n"/>
    </row>
    <row r="237">
      <c r="A237" s="63" t="n"/>
      <c r="B237" s="62" t="n">
        <v>25091649997780</v>
      </c>
      <c r="C237" s="58" t="n"/>
      <c r="D237" s="65" t="n"/>
      <c r="E237" s="62" t="n">
        <v>671316</v>
      </c>
      <c r="F237" s="63" t="inlineStr">
        <is>
          <t xml:space="preserve">Mr./Ms. </t>
        </is>
      </c>
      <c r="G237" s="60" t="n">
        <v>1610176796</v>
      </c>
      <c r="H237" s="61" t="inlineStr">
        <is>
          <t>Rangpur</t>
        </is>
      </c>
      <c r="I237" s="63" t="inlineStr">
        <is>
          <t>FMCG</t>
        </is>
      </c>
      <c r="J237" s="63" t="inlineStr">
        <is>
          <t>Groceries</t>
        </is>
      </c>
      <c r="K237" s="62" t="n">
        <v>198</v>
      </c>
      <c r="L237" s="63" t="inlineStr">
        <is>
          <t>Pran Muri (Puffed Rice) 500gm</t>
        </is>
      </c>
      <c r="M237" s="63" t="n"/>
      <c r="N237" s="79" t="n"/>
      <c r="O237" s="79" t="n"/>
      <c r="P237" s="79" t="n"/>
      <c r="Q237" s="79" t="n"/>
      <c r="R237" s="79" t="n"/>
      <c r="S237" s="79" t="n"/>
      <c r="T237" s="79" t="n"/>
      <c r="U237" s="79" t="n"/>
      <c r="V237" s="79" t="n"/>
      <c r="W237" s="79" t="n"/>
      <c r="X237" s="79" t="n"/>
      <c r="Y237" s="79" t="n"/>
      <c r="Z237" s="79" t="n"/>
    </row>
    <row r="238">
      <c r="A238" s="63" t="n"/>
      <c r="B238" s="62" t="n">
        <v>25091661383590</v>
      </c>
      <c r="C238" s="58" t="n"/>
      <c r="D238" s="65" t="n"/>
      <c r="E238" s="62" t="n">
        <v>692945</v>
      </c>
      <c r="F238" s="63" t="inlineStr">
        <is>
          <t xml:space="preserve">prollad Sarkar </t>
        </is>
      </c>
      <c r="G238" s="60" t="n">
        <v>1862895012</v>
      </c>
      <c r="H238" s="61" t="inlineStr">
        <is>
          <t>Rangpur</t>
        </is>
      </c>
      <c r="I238" s="63" t="inlineStr">
        <is>
          <t>FMCG</t>
        </is>
      </c>
      <c r="J238" s="63" t="inlineStr">
        <is>
          <t>Health  Beauty</t>
        </is>
      </c>
      <c r="K238" s="62" t="n">
        <v>295</v>
      </c>
      <c r="L238" s="63" t="inlineStr">
        <is>
          <t>T9 Vintage USB Rechargeable Hair Trimmer Metal Body with Type-C Fast Charging Port</t>
        </is>
      </c>
      <c r="M238" s="63" t="n"/>
      <c r="N238" s="79" t="n"/>
      <c r="O238" s="79" t="n"/>
      <c r="P238" s="79" t="n"/>
      <c r="Q238" s="79" t="n"/>
      <c r="R238" s="79" t="n"/>
      <c r="S238" s="79" t="n"/>
      <c r="T238" s="79" t="n"/>
      <c r="U238" s="79" t="n"/>
      <c r="V238" s="79" t="n"/>
      <c r="W238" s="79" t="n"/>
      <c r="X238" s="79" t="n"/>
      <c r="Y238" s="79" t="n"/>
      <c r="Z238" s="79" t="n"/>
    </row>
    <row r="239">
      <c r="A239" s="63" t="n"/>
      <c r="B239" s="62" t="n">
        <v>25091618341943</v>
      </c>
      <c r="C239" s="67" t="inlineStr">
        <is>
          <t>Mir Ahsan Abid</t>
        </is>
      </c>
      <c r="D239" s="63" t="n"/>
      <c r="E239" s="62" t="n">
        <v>357564</v>
      </c>
      <c r="F239" s="63" t="inlineStr">
        <is>
          <t xml:space="preserve">dipankar kumar </t>
        </is>
      </c>
      <c r="G239" s="60" t="n">
        <v>1982625586</v>
      </c>
      <c r="H239" s="66" t="inlineStr">
        <is>
          <t>Satkhira</t>
        </is>
      </c>
      <c r="I239" s="63" t="inlineStr">
        <is>
          <t>Lifestyle</t>
        </is>
      </c>
      <c r="J239" s="63" t="inlineStr">
        <is>
          <t>Kitchen  Dining</t>
        </is>
      </c>
      <c r="K239" s="62" t="n">
        <v>229</v>
      </c>
      <c r="L239" s="63" t="inlineStr">
        <is>
          <t>Digital Hanging Weight Scale - Weiheng Electronic Portable LCD Scale with Double Precision Hook for Luggage and Travel</t>
        </is>
      </c>
      <c r="M239" s="63" t="inlineStr">
        <is>
          <t xml:space="preserve">Connected </t>
        </is>
      </c>
      <c r="N239" s="79" t="inlineStr">
        <is>
          <t>Yes</t>
        </is>
      </c>
      <c r="O239" s="79" t="inlineStr">
        <is>
          <t>On time</t>
        </is>
      </c>
      <c r="P239" s="79" t="n"/>
      <c r="Q239" s="79" t="n"/>
      <c r="R239" s="79" t="inlineStr">
        <is>
          <t>Neutral</t>
        </is>
      </c>
      <c r="S239" s="79" t="inlineStr">
        <is>
          <t>Not Damaged</t>
        </is>
      </c>
      <c r="T239" s="79" t="inlineStr">
        <is>
          <t>Didn't check</t>
        </is>
      </c>
      <c r="U239" s="79" t="n"/>
      <c r="V239" s="79" t="n"/>
      <c r="W239" s="79" t="n">
        <v>9</v>
      </c>
      <c r="X239" s="79" t="n"/>
      <c r="Y239" s="79" t="inlineStr">
        <is>
          <t>Positive</t>
        </is>
      </c>
      <c r="Z239" s="79" t="n"/>
    </row>
    <row r="240">
      <c r="A240" s="63" t="n"/>
      <c r="B240" s="62" t="n">
        <v>25091626802811</v>
      </c>
      <c r="C240" s="67" t="inlineStr">
        <is>
          <t>Mir Ahsan Abid</t>
        </is>
      </c>
      <c r="D240" s="63" t="n"/>
      <c r="E240" s="62" t="n">
        <v>508299</v>
      </c>
      <c r="F240" s="63" t="inlineStr">
        <is>
          <t xml:space="preserve">Md Anisur </t>
        </is>
      </c>
      <c r="G240" s="60" t="n">
        <v>1957711316</v>
      </c>
      <c r="H240" s="61" t="inlineStr">
        <is>
          <t>Satkhira</t>
        </is>
      </c>
      <c r="I240" s="63" t="inlineStr">
        <is>
          <t>FMCG</t>
        </is>
      </c>
      <c r="J240" s="63" t="inlineStr">
        <is>
          <t>Groceries</t>
        </is>
      </c>
      <c r="K240" s="62" t="n">
        <v>36</v>
      </c>
      <c r="L240" s="63" t="inlineStr">
        <is>
          <t>Partex Cleen Toilet Tissue White (2 Ply Regular) - Ultra Soft</t>
        </is>
      </c>
      <c r="M240" s="63" t="inlineStr">
        <is>
          <t>Not Connected</t>
        </is>
      </c>
      <c r="N240" s="79" t="n"/>
      <c r="O240" s="79" t="n"/>
      <c r="P240" s="79" t="n"/>
      <c r="Q240" s="79" t="n"/>
      <c r="R240" s="79" t="n"/>
      <c r="S240" s="79" t="n"/>
      <c r="T240" s="79" t="n"/>
      <c r="U240" s="79" t="n"/>
      <c r="V240" s="79" t="n"/>
      <c r="W240" s="79" t="n"/>
      <c r="X240" s="79" t="n"/>
      <c r="Y240" s="79" t="n"/>
      <c r="Z240" s="79" t="n"/>
    </row>
    <row r="241">
      <c r="A241" s="63" t="n"/>
      <c r="B241" s="62" t="n">
        <v>25091635898438</v>
      </c>
      <c r="C241" s="58" t="n"/>
      <c r="D241" s="63" t="n"/>
      <c r="E241" s="62" t="n">
        <v>691050</v>
      </c>
      <c r="F241" s="63" t="inlineStr">
        <is>
          <t xml:space="preserve">Sadia Islam Moyna </t>
        </is>
      </c>
      <c r="G241" s="60" t="n">
        <v>1400279445</v>
      </c>
      <c r="H241" s="66" t="inlineStr">
        <is>
          <t>Satkhira</t>
        </is>
      </c>
      <c r="I241" s="63" t="inlineStr">
        <is>
          <t>Fashion</t>
        </is>
      </c>
      <c r="J241" s="63" t="inlineStr">
        <is>
          <t>Bags and Travel</t>
        </is>
      </c>
      <c r="K241" s="62" t="n">
        <v>504</v>
      </c>
      <c r="L241" s="63" t="inlineStr">
        <is>
          <t>Kids bag toddler backpack School Cartoon Bags, Nursery kids Travel Backpacks, Birthday Gift Backpacks</t>
        </is>
      </c>
      <c r="M241" s="63" t="n"/>
      <c r="N241" s="79" t="n"/>
      <c r="O241" s="79" t="n"/>
      <c r="P241" s="79" t="n"/>
      <c r="Q241" s="79" t="n"/>
      <c r="R241" s="79" t="n"/>
      <c r="S241" s="79" t="n"/>
      <c r="T241" s="79" t="n"/>
      <c r="U241" s="79" t="n"/>
      <c r="V241" s="79" t="n"/>
      <c r="W241" s="79" t="n"/>
      <c r="X241" s="79" t="n"/>
      <c r="Y241" s="79" t="n"/>
      <c r="Z241" s="79" t="n"/>
    </row>
    <row r="242">
      <c r="A242" s="63" t="n"/>
      <c r="B242" s="62" t="n">
        <v>25091641659529</v>
      </c>
      <c r="C242" s="58" t="n"/>
      <c r="D242" s="65" t="n"/>
      <c r="E242" s="62" t="n">
        <v>692384</v>
      </c>
      <c r="F242" s="63" t="inlineStr">
        <is>
          <t xml:space="preserve">Md Asadul Islam </t>
        </is>
      </c>
      <c r="G242" s="60" t="n">
        <v>1918619875</v>
      </c>
      <c r="H242" s="66" t="inlineStr">
        <is>
          <t>Satkhira</t>
        </is>
      </c>
      <c r="I242" s="63" t="inlineStr">
        <is>
          <t>Lifestyle</t>
        </is>
      </c>
      <c r="J242" s="63" t="inlineStr">
        <is>
          <t>Tools, DIY  Outdoor</t>
        </is>
      </c>
      <c r="K242" s="62" t="n">
        <v>125</v>
      </c>
      <c r="L242" s="63" t="inlineStr">
        <is>
          <t>Battery Charge Level Indicator 12V 24V 36V 48V 60V 72V Lithium Battery Capacity Meter Tester With LED Voltmeter for Cars Motorcycles Etc</t>
        </is>
      </c>
      <c r="M242" s="63" t="n"/>
      <c r="N242" s="79" t="n"/>
      <c r="O242" s="79" t="n"/>
      <c r="P242" s="79" t="n"/>
      <c r="Q242" s="79" t="n"/>
      <c r="R242" s="79" t="n"/>
      <c r="S242" s="79" t="n"/>
      <c r="T242" s="79" t="n"/>
      <c r="U242" s="79" t="n"/>
      <c r="V242" s="79" t="n"/>
      <c r="W242" s="79" t="n"/>
      <c r="X242" s="79" t="n"/>
      <c r="Y242" s="79" t="n"/>
      <c r="Z242" s="79" t="n"/>
    </row>
    <row r="243">
      <c r="A243" s="63" t="n"/>
      <c r="B243" s="62" t="n">
        <v>25091613858237</v>
      </c>
      <c r="C243" s="67" t="inlineStr">
        <is>
          <t>Mir Ahsan Abid</t>
        </is>
      </c>
      <c r="D243" s="63" t="n"/>
      <c r="E243" s="62" t="n">
        <v>636614</v>
      </c>
      <c r="F243" s="63" t="inlineStr">
        <is>
          <t xml:space="preserve">Islamic Vedio 2000 </t>
        </is>
      </c>
      <c r="G243" s="60" t="n">
        <v>1641075734</v>
      </c>
      <c r="H243" s="66" t="inlineStr">
        <is>
          <t>Savar</t>
        </is>
      </c>
      <c r="I243" s="63" t="inlineStr">
        <is>
          <t>FMCG</t>
        </is>
      </c>
      <c r="J243" s="63" t="inlineStr">
        <is>
          <t>Health  Beauty</t>
        </is>
      </c>
      <c r="K243" s="62" t="n">
        <v>47</v>
      </c>
      <c r="L243" s="63" t="inlineStr">
        <is>
          <t>Parachute SkinPure Petroleum Jelly 50ml</t>
        </is>
      </c>
      <c r="M243" s="63" t="inlineStr">
        <is>
          <t xml:space="preserve">Connected </t>
        </is>
      </c>
      <c r="N243" s="79" t="inlineStr">
        <is>
          <t>Yes</t>
        </is>
      </c>
      <c r="O243" s="79" t="inlineStr">
        <is>
          <t>On time</t>
        </is>
      </c>
      <c r="P243" s="79" t="n"/>
      <c r="Q243" s="79" t="n"/>
      <c r="R243" s="79" t="inlineStr">
        <is>
          <t>Very polite</t>
        </is>
      </c>
      <c r="S243" s="79" t="inlineStr">
        <is>
          <t>Not Damaged</t>
        </is>
      </c>
      <c r="T243" s="79" t="inlineStr">
        <is>
          <t>Yes</t>
        </is>
      </c>
      <c r="U243" s="79" t="n"/>
      <c r="V243" s="79" t="n"/>
      <c r="W243" s="79" t="n">
        <v>10</v>
      </c>
      <c r="X243" s="79" t="n"/>
      <c r="Y243" s="79" t="inlineStr">
        <is>
          <t>Positive</t>
        </is>
      </c>
      <c r="Z243" s="79" t="n"/>
    </row>
    <row r="244">
      <c r="A244" s="63" t="n"/>
      <c r="B244" s="62" t="n">
        <v>25091626005805</v>
      </c>
      <c r="C244" s="67" t="inlineStr">
        <is>
          <t>Mir Ahsan Abid</t>
        </is>
      </c>
      <c r="D244" s="63" t="n"/>
      <c r="E244" s="62" t="n">
        <v>243650</v>
      </c>
      <c r="F244" s="63" t="inlineStr">
        <is>
          <t xml:space="preserve">Jibon </t>
        </is>
      </c>
      <c r="G244" s="60" t="n">
        <v>1840131645</v>
      </c>
      <c r="H244" s="61" t="inlineStr">
        <is>
          <t>Savar</t>
        </is>
      </c>
      <c r="I244" s="63" t="inlineStr">
        <is>
          <t>Electronics</t>
        </is>
      </c>
      <c r="J244" s="63" t="inlineStr">
        <is>
          <t>TV, Audio / Video, Gaming  Wearables</t>
        </is>
      </c>
      <c r="K244" s="62" t="n">
        <v>209</v>
      </c>
      <c r="L244" s="63" t="inlineStr">
        <is>
          <t>M10 TWS Wireless Earbuds</t>
        </is>
      </c>
      <c r="M244" s="63" t="inlineStr">
        <is>
          <t xml:space="preserve">Connected </t>
        </is>
      </c>
      <c r="N244" s="79" t="inlineStr">
        <is>
          <t>No</t>
        </is>
      </c>
      <c r="O244" s="79" t="n"/>
      <c r="P244" s="79" t="n"/>
      <c r="Q244" s="79" t="n"/>
      <c r="R244" s="79" t="n"/>
      <c r="S244" s="79" t="n"/>
      <c r="T244" s="79" t="n"/>
      <c r="U244" s="79" t="n"/>
      <c r="V244" s="79" t="n"/>
      <c r="W244" s="79" t="n"/>
      <c r="X244" s="79" t="n"/>
      <c r="Y244" s="79" t="n"/>
      <c r="Z244" s="79" t="n"/>
    </row>
    <row r="245">
      <c r="A245" s="63" t="n"/>
      <c r="B245" s="62" t="n">
        <v>25091634768541</v>
      </c>
      <c r="C245" s="58" t="n"/>
      <c r="D245" s="63" t="n"/>
      <c r="E245" s="62" t="n">
        <v>34268</v>
      </c>
      <c r="F245" s="63" t="inlineStr">
        <is>
          <t>Ajgar Hossain</t>
        </is>
      </c>
      <c r="G245" s="60" t="n">
        <v>1730794076</v>
      </c>
      <c r="H245" s="61" t="inlineStr">
        <is>
          <t>Savar</t>
        </is>
      </c>
      <c r="I245" s="63" t="inlineStr">
        <is>
          <t>FMCG</t>
        </is>
      </c>
      <c r="J245" s="63" t="inlineStr">
        <is>
          <t>Groceries</t>
        </is>
      </c>
      <c r="K245" s="62" t="n">
        <v>178</v>
      </c>
      <c r="L245" s="63" t="inlineStr">
        <is>
          <t>Fresh Premium Tea - 200 gm</t>
        </is>
      </c>
      <c r="M245" s="63" t="n"/>
      <c r="N245" s="79" t="n"/>
      <c r="O245" s="79" t="n"/>
      <c r="P245" s="79" t="n"/>
      <c r="Q245" s="79" t="n"/>
      <c r="R245" s="79" t="n"/>
      <c r="S245" s="79" t="n"/>
      <c r="T245" s="79" t="n"/>
      <c r="U245" s="79" t="n"/>
      <c r="V245" s="79" t="n"/>
      <c r="W245" s="79" t="n"/>
      <c r="X245" s="79" t="n"/>
      <c r="Y245" s="79" t="n"/>
      <c r="Z245" s="79" t="n"/>
    </row>
    <row r="246">
      <c r="A246" s="63" t="n"/>
      <c r="B246" s="62" t="n">
        <v>25091641016430</v>
      </c>
      <c r="C246" s="58" t="n"/>
      <c r="D246" s="65" t="n"/>
      <c r="E246" s="62" t="n">
        <v>563119</v>
      </c>
      <c r="F246" s="63" t="inlineStr">
        <is>
          <t xml:space="preserve">MD Yamin Munsi </t>
        </is>
      </c>
      <c r="G246" s="60" t="n">
        <v>1870895028</v>
      </c>
      <c r="H246" s="66" t="inlineStr">
        <is>
          <t>Savar</t>
        </is>
      </c>
      <c r="I246" s="63" t="inlineStr">
        <is>
          <t>FMCG</t>
        </is>
      </c>
      <c r="J246" s="63" t="inlineStr">
        <is>
          <t>Groceries</t>
        </is>
      </c>
      <c r="K246" s="62" t="n">
        <v>538</v>
      </c>
      <c r="L246" s="63" t="inlineStr">
        <is>
          <t>Chia seeds / chia seed-500gm - Chia Seed</t>
        </is>
      </c>
      <c r="M246" s="63" t="n"/>
      <c r="N246" s="79" t="n"/>
      <c r="O246" s="79" t="n"/>
      <c r="P246" s="79" t="n"/>
      <c r="Q246" s="79" t="n"/>
      <c r="R246" s="79" t="n"/>
      <c r="S246" s="79" t="n"/>
      <c r="T246" s="79" t="n"/>
      <c r="U246" s="79" t="n"/>
      <c r="V246" s="79" t="n"/>
      <c r="W246" s="79" t="n"/>
      <c r="X246" s="79" t="n"/>
      <c r="Y246" s="79" t="n"/>
      <c r="Z246" s="79" t="n"/>
    </row>
    <row r="247">
      <c r="A247" s="63" t="n"/>
      <c r="B247" s="62" t="n">
        <v>25091619502556</v>
      </c>
      <c r="C247" s="67" t="inlineStr">
        <is>
          <t>Mir Ahsan Abid</t>
        </is>
      </c>
      <c r="D247" s="63" t="n"/>
      <c r="E247" s="62" t="n">
        <v>599411</v>
      </c>
      <c r="F247" s="63" t="inlineStr">
        <is>
          <t xml:space="preserve">Md Naiem </t>
        </is>
      </c>
      <c r="G247" s="60" t="n">
        <v>1834919720</v>
      </c>
      <c r="H247" s="61" t="inlineStr">
        <is>
          <t>Shariatpur</t>
        </is>
      </c>
      <c r="I247" s="63" t="inlineStr">
        <is>
          <t>Lifestyle</t>
        </is>
      </c>
      <c r="J247" s="63" t="inlineStr">
        <is>
          <t>Stationery  Craft</t>
        </is>
      </c>
      <c r="K247" s="62" t="n">
        <v>185</v>
      </c>
      <c r="L247" s="63" t="inlineStr">
        <is>
          <t>Hot Melt Glue gun + 5 Pcs Glue Strick 11 Inch</t>
        </is>
      </c>
      <c r="M247" s="63" t="inlineStr">
        <is>
          <t xml:space="preserve">Connected </t>
        </is>
      </c>
      <c r="N247" s="79" t="inlineStr">
        <is>
          <t>Yes</t>
        </is>
      </c>
      <c r="O247" s="79" t="inlineStr">
        <is>
          <t>On time</t>
        </is>
      </c>
      <c r="P247" s="79" t="n"/>
      <c r="Q247" s="79" t="n"/>
      <c r="R247" s="79" t="inlineStr">
        <is>
          <t>Neutral</t>
        </is>
      </c>
      <c r="S247" s="79" t="inlineStr">
        <is>
          <t>Not Damaged</t>
        </is>
      </c>
      <c r="T247" s="79" t="inlineStr">
        <is>
          <t>Didn't check</t>
        </is>
      </c>
      <c r="U247" s="79" t="n"/>
      <c r="V247" s="79" t="n"/>
      <c r="W247" s="79" t="n">
        <v>9</v>
      </c>
      <c r="X247" s="79" t="n"/>
      <c r="Y247" s="79" t="inlineStr">
        <is>
          <t>Positive</t>
        </is>
      </c>
      <c r="Z247" s="79" t="n"/>
    </row>
    <row r="248">
      <c r="A248" s="63" t="n"/>
      <c r="B248" s="62" t="n">
        <v>25091653739926</v>
      </c>
      <c r="C248" s="58" t="n"/>
      <c r="D248" s="65" t="n"/>
      <c r="E248" s="62" t="n">
        <v>672523</v>
      </c>
      <c r="F248" s="63" t="inlineStr">
        <is>
          <t xml:space="preserve">Hm Atik </t>
        </is>
      </c>
      <c r="G248" s="60" t="n">
        <v>1759069655</v>
      </c>
      <c r="H248" s="66" t="inlineStr">
        <is>
          <t>Shariatpur</t>
        </is>
      </c>
      <c r="I248" s="63" t="inlineStr">
        <is>
          <t>Electronics</t>
        </is>
      </c>
      <c r="J248" s="63" t="inlineStr">
        <is>
          <t>Mobiles  Tablets</t>
        </is>
      </c>
      <c r="K248" s="62" t="n">
        <v>570</v>
      </c>
      <c r="L248" s="63" t="inlineStr">
        <is>
          <t>Samsung Galaxy Tab A 8.0 2019 T295 - 8 Inch Luxury Horizontal Flip Book Cover - Black And Tempered Glass Protector For Samsung Galaxy Tab A 8.0 2019 T295 - 8 Inch</t>
        </is>
      </c>
      <c r="M248" s="63" t="n"/>
      <c r="N248" s="79" t="n"/>
      <c r="O248" s="79" t="n"/>
      <c r="P248" s="79" t="n"/>
      <c r="Q248" s="79" t="n"/>
      <c r="R248" s="79" t="n"/>
      <c r="S248" s="79" t="n"/>
      <c r="T248" s="79" t="n"/>
      <c r="U248" s="79" t="n"/>
      <c r="V248" s="79" t="n"/>
      <c r="W248" s="79" t="n"/>
      <c r="X248" s="79" t="n"/>
      <c r="Y248" s="79" t="n"/>
      <c r="Z248" s="79" t="n"/>
    </row>
    <row r="249">
      <c r="A249" s="63" t="n"/>
      <c r="B249" s="62" t="n">
        <v>25091657259094</v>
      </c>
      <c r="C249" s="58" t="n"/>
      <c r="D249" s="65" t="n"/>
      <c r="E249" s="62" t="n">
        <v>395069</v>
      </c>
      <c r="F249" s="63" t="inlineStr">
        <is>
          <t xml:space="preserve">Mr./Ms. </t>
        </is>
      </c>
      <c r="G249" s="60" t="n">
        <v>1781044377</v>
      </c>
      <c r="H249" s="66" t="inlineStr">
        <is>
          <t>Shariatpur</t>
        </is>
      </c>
      <c r="I249" s="63" t="inlineStr">
        <is>
          <t>Fashion</t>
        </is>
      </c>
      <c r="J249" s="63" t="inlineStr">
        <is>
          <t>Watches Sunglasses Jewellery</t>
        </is>
      </c>
      <c r="K249" s="62" t="n">
        <v>79</v>
      </c>
      <c r="L249" s="63" t="inlineStr">
        <is>
          <t>Trendsetter -Upscale Living -New Trendy Look Very Stylish Black Sunglass for Men 2022</t>
        </is>
      </c>
      <c r="M249" s="63" t="n"/>
      <c r="N249" s="79" t="n"/>
      <c r="O249" s="79" t="n"/>
      <c r="P249" s="79" t="n"/>
      <c r="Q249" s="79" t="n"/>
      <c r="R249" s="79" t="n"/>
      <c r="S249" s="79" t="n"/>
      <c r="T249" s="79" t="n"/>
      <c r="U249" s="79" t="n"/>
      <c r="V249" s="79" t="n"/>
      <c r="W249" s="79" t="n"/>
      <c r="X249" s="79" t="n"/>
      <c r="Y249" s="79" t="n"/>
      <c r="Z249" s="79" t="n"/>
    </row>
    <row r="250">
      <c r="A250" s="63" t="n"/>
      <c r="B250" s="62" t="n">
        <v>25091666323615</v>
      </c>
      <c r="C250" s="58" t="n"/>
      <c r="D250" s="65" t="n"/>
      <c r="E250" s="62" t="n">
        <v>161427</v>
      </c>
      <c r="F250" s="63" t="inlineStr">
        <is>
          <t>NESAR DHALY</t>
        </is>
      </c>
      <c r="G250" s="60" t="n">
        <v>1772321314</v>
      </c>
      <c r="H250" s="61" t="inlineStr">
        <is>
          <t>Shariatpur</t>
        </is>
      </c>
      <c r="I250" s="63" t="inlineStr">
        <is>
          <t>FMCG</t>
        </is>
      </c>
      <c r="J250" s="63" t="inlineStr">
        <is>
          <t>Health  Beauty</t>
        </is>
      </c>
      <c r="K250" s="62" t="n">
        <v>399</v>
      </c>
      <c r="L250" s="63" t="inlineStr">
        <is>
          <t>HTC AT-528 Professional Hair Clipper Trimmer for Men</t>
        </is>
      </c>
      <c r="M250" s="63" t="n"/>
      <c r="N250" s="79" t="n"/>
      <c r="O250" s="79" t="n"/>
      <c r="P250" s="79" t="n"/>
      <c r="Q250" s="79" t="n"/>
      <c r="R250" s="79" t="n"/>
      <c r="S250" s="79" t="n"/>
      <c r="T250" s="79" t="n"/>
      <c r="U250" s="79" t="n"/>
      <c r="V250" s="79" t="n"/>
      <c r="W250" s="79" t="n"/>
      <c r="X250" s="79" t="n"/>
      <c r="Y250" s="79" t="n"/>
      <c r="Z250" s="79" t="n"/>
    </row>
    <row r="251">
      <c r="A251" s="63" t="n"/>
      <c r="B251" s="62" t="n">
        <v>25091617325376</v>
      </c>
      <c r="C251" s="67" t="inlineStr">
        <is>
          <t>Mir Ahsan Abid</t>
        </is>
      </c>
      <c r="D251" s="63" t="n"/>
      <c r="E251" s="62" t="n">
        <v>671050</v>
      </c>
      <c r="F251" s="63" t="inlineStr">
        <is>
          <t xml:space="preserve">Kawsar Khan </t>
        </is>
      </c>
      <c r="G251" s="60" t="n">
        <v>1965732537</v>
      </c>
      <c r="H251" s="61" t="inlineStr">
        <is>
          <t>Sherpur</t>
        </is>
      </c>
      <c r="I251" s="63" t="inlineStr">
        <is>
          <t>Lifestyle</t>
        </is>
      </c>
      <c r="J251" s="63" t="inlineStr">
        <is>
          <t>Tools, DIY  Outdoor</t>
        </is>
      </c>
      <c r="K251" s="62" t="n">
        <v>95</v>
      </c>
      <c r="L251" s="63" t="inlineStr">
        <is>
          <t>Soldering Tools Kit Combo (soldering wire+Paste + Loson Liquid 3 in 1 )</t>
        </is>
      </c>
      <c r="M251" s="63" t="inlineStr">
        <is>
          <t xml:space="preserve">Connected </t>
        </is>
      </c>
      <c r="N251" s="79" t="inlineStr">
        <is>
          <t>Yes</t>
        </is>
      </c>
      <c r="O251" s="79" t="inlineStr">
        <is>
          <t>On time</t>
        </is>
      </c>
      <c r="P251" s="79" t="n"/>
      <c r="Q251" s="79" t="n"/>
      <c r="R251" s="79" t="inlineStr">
        <is>
          <t>Very polite</t>
        </is>
      </c>
      <c r="S251" s="79" t="inlineStr">
        <is>
          <t>Not Damaged</t>
        </is>
      </c>
      <c r="T251" s="79" t="inlineStr">
        <is>
          <t>Didn't check</t>
        </is>
      </c>
      <c r="U251" s="79" t="n"/>
      <c r="V251" s="79" t="n"/>
      <c r="W251" s="79" t="n">
        <v>10</v>
      </c>
      <c r="X251" s="79" t="n"/>
      <c r="Y251" s="79" t="inlineStr">
        <is>
          <t>Positive</t>
        </is>
      </c>
      <c r="Z251" s="79" t="n"/>
    </row>
    <row r="252">
      <c r="A252" s="63" t="n"/>
      <c r="B252" s="62" t="n">
        <v>25091624677109</v>
      </c>
      <c r="C252" s="67" t="inlineStr">
        <is>
          <t>Mir Ahsan Abid</t>
        </is>
      </c>
      <c r="D252" s="63" t="n"/>
      <c r="E252" s="62" t="n">
        <v>692731</v>
      </c>
      <c r="F252" s="63" t="inlineStr">
        <is>
          <t xml:space="preserve">Mr./Ms. </t>
        </is>
      </c>
      <c r="G252" s="60" t="n">
        <v>1611202181</v>
      </c>
      <c r="H252" s="66" t="inlineStr">
        <is>
          <t>Sherpur</t>
        </is>
      </c>
      <c r="I252" s="63" t="inlineStr">
        <is>
          <t>Electronics</t>
        </is>
      </c>
      <c r="J252" s="63" t="inlineStr">
        <is>
          <t>Mobiles  Tablets</t>
        </is>
      </c>
      <c r="K252" s="62" t="n">
        <v>143</v>
      </c>
      <c r="L252" s="63" t="inlineStr">
        <is>
          <t>Vivo V30 Lite Transparent Black Shockproof Back Cover with Anti-Drop TPU PC Case</t>
        </is>
      </c>
      <c r="M252" s="63" t="inlineStr">
        <is>
          <t xml:space="preserve">Connected </t>
        </is>
      </c>
      <c r="N252" s="79" t="inlineStr">
        <is>
          <t>Yes</t>
        </is>
      </c>
      <c r="O252" s="79" t="inlineStr">
        <is>
          <t>On time</t>
        </is>
      </c>
      <c r="P252" s="79" t="n"/>
      <c r="Q252" s="79" t="n"/>
      <c r="R252" s="79" t="inlineStr">
        <is>
          <t>Neutral</t>
        </is>
      </c>
      <c r="S252" s="79" t="inlineStr">
        <is>
          <t>Not Damaged</t>
        </is>
      </c>
      <c r="T252" s="79" t="inlineStr">
        <is>
          <t>Didn't check</t>
        </is>
      </c>
      <c r="U252" s="79" t="n"/>
      <c r="V252" s="79" t="n"/>
      <c r="W252" s="79" t="n">
        <v>10</v>
      </c>
      <c r="X252" s="79" t="n"/>
      <c r="Y252" s="79" t="inlineStr">
        <is>
          <t>Positive</t>
        </is>
      </c>
      <c r="Z252" s="79" t="n"/>
    </row>
    <row r="253">
      <c r="A253" s="63" t="n"/>
      <c r="B253" s="62" t="n">
        <v>25091624810629</v>
      </c>
      <c r="C253" s="67" t="inlineStr">
        <is>
          <t>Mir Ahsan Abid</t>
        </is>
      </c>
      <c r="D253" s="63" t="n"/>
      <c r="E253" s="62" t="n">
        <v>334246</v>
      </c>
      <c r="F253" s="63" t="inlineStr">
        <is>
          <t>Rofikul Islam Rofik</t>
        </is>
      </c>
      <c r="G253" s="60" t="n">
        <v>1315478811</v>
      </c>
      <c r="H253" s="66" t="inlineStr">
        <is>
          <t>Sherpur</t>
        </is>
      </c>
      <c r="I253" s="63" t="inlineStr">
        <is>
          <t>Electronics</t>
        </is>
      </c>
      <c r="J253" s="63" t="inlineStr">
        <is>
          <t>Home Appliances</t>
        </is>
      </c>
      <c r="K253" s="62" t="n">
        <v>817</v>
      </c>
      <c r="L253" s="63" t="inlineStr">
        <is>
          <t>350W High Power Multifunctional Electric Grinder Machine</t>
        </is>
      </c>
      <c r="M253" s="63" t="inlineStr">
        <is>
          <t xml:space="preserve">Connected </t>
        </is>
      </c>
      <c r="N253" s="79" t="inlineStr">
        <is>
          <t>Yes</t>
        </is>
      </c>
      <c r="O253" s="79" t="inlineStr">
        <is>
          <t>On time</t>
        </is>
      </c>
      <c r="P253" s="79" t="n"/>
      <c r="Q253" s="79" t="n"/>
      <c r="R253" s="79" t="inlineStr">
        <is>
          <t>Neutral</t>
        </is>
      </c>
      <c r="S253" s="79" t="inlineStr">
        <is>
          <t>Not Damaged</t>
        </is>
      </c>
      <c r="T253" s="79" t="inlineStr">
        <is>
          <t>Yes</t>
        </is>
      </c>
      <c r="U253" s="79" t="n"/>
      <c r="V253" s="79" t="n"/>
      <c r="W253" s="79" t="n">
        <v>8</v>
      </c>
      <c r="X253" s="79" t="n"/>
      <c r="Y253" s="79" t="inlineStr">
        <is>
          <t>Neutral</t>
        </is>
      </c>
      <c r="Z253" s="79" t="n"/>
    </row>
    <row r="254">
      <c r="A254" s="63" t="n"/>
      <c r="B254" s="62" t="n">
        <v>25091631423921</v>
      </c>
      <c r="C254" s="58" t="n"/>
      <c r="D254" s="63" t="n"/>
      <c r="E254" s="62" t="n">
        <v>692731</v>
      </c>
      <c r="F254" s="63" t="inlineStr">
        <is>
          <t xml:space="preserve">Mr./Ms. </t>
        </is>
      </c>
      <c r="G254" s="60" t="n">
        <v>1611202181</v>
      </c>
      <c r="H254" s="66" t="inlineStr">
        <is>
          <t>Sherpur</t>
        </is>
      </c>
      <c r="I254" s="63" t="inlineStr">
        <is>
          <t>Electronics</t>
        </is>
      </c>
      <c r="J254" s="63" t="inlineStr">
        <is>
          <t>Mobiles  Tablets</t>
        </is>
      </c>
      <c r="K254" s="62" t="n">
        <v>142</v>
      </c>
      <c r="L254" s="63" t="inlineStr">
        <is>
          <t>Back Cover for Oppo Reno 9 Pro 5g (Black,Transparent)</t>
        </is>
      </c>
      <c r="M254" s="63" t="n"/>
      <c r="N254" s="79" t="n"/>
      <c r="O254" s="79" t="n"/>
      <c r="P254" s="79" t="n"/>
      <c r="Q254" s="79" t="n"/>
      <c r="R254" s="79" t="n"/>
      <c r="S254" s="79" t="n"/>
      <c r="T254" s="79" t="n"/>
      <c r="U254" s="79" t="n"/>
      <c r="V254" s="79" t="n"/>
      <c r="W254" s="79" t="n"/>
      <c r="X254" s="79" t="n"/>
      <c r="Y254" s="79" t="n"/>
      <c r="Z254" s="79" t="n"/>
    </row>
    <row r="255">
      <c r="A255" s="63" t="n"/>
      <c r="B255" s="62" t="n">
        <v>25091650461759</v>
      </c>
      <c r="C255" s="58" t="n"/>
      <c r="D255" s="65" t="n"/>
      <c r="E255" s="62" t="n">
        <v>656552</v>
      </c>
      <c r="F255" s="63" t="inlineStr">
        <is>
          <t xml:space="preserve">Piyal Sarkar </t>
        </is>
      </c>
      <c r="G255" s="60" t="n">
        <v>1740213832</v>
      </c>
      <c r="H255" s="61" t="inlineStr">
        <is>
          <t>Sirajganj</t>
        </is>
      </c>
      <c r="I255" s="63" t="inlineStr">
        <is>
          <t>Lifestyle</t>
        </is>
      </c>
      <c r="J255" s="63" t="inlineStr">
        <is>
          <t>Tools, DIY  Outdoor</t>
        </is>
      </c>
      <c r="K255" s="62" t="n">
        <v>199</v>
      </c>
      <c r="L255" s="63" t="inlineStr">
        <is>
          <t>Diy T12 Electric Soldering Iron Stand Holder With Sponge Tray For Koocu-881D V900 V501 Kada-878D+ Ap-886D 907 Soldering Rewark Station Series Welding Tool - Soldering Iron</t>
        </is>
      </c>
      <c r="M255" s="63" t="n"/>
      <c r="N255" s="79" t="n"/>
      <c r="O255" s="79" t="n"/>
      <c r="P255" s="79" t="n"/>
      <c r="Q255" s="79" t="n"/>
      <c r="R255" s="79" t="n"/>
      <c r="S255" s="79" t="n"/>
      <c r="T255" s="79" t="n"/>
      <c r="U255" s="79" t="n"/>
      <c r="V255" s="79" t="n"/>
      <c r="W255" s="79" t="n"/>
      <c r="X255" s="79" t="n"/>
      <c r="Y255" s="79" t="n"/>
      <c r="Z255" s="79" t="n"/>
    </row>
    <row r="256">
      <c r="A256" s="63" t="n"/>
      <c r="B256" s="62" t="n">
        <v>25091664252962</v>
      </c>
      <c r="C256" s="58" t="n"/>
      <c r="D256" s="65" t="n"/>
      <c r="E256" s="62" t="n">
        <v>642089</v>
      </c>
      <c r="F256" s="63" t="inlineStr">
        <is>
          <t xml:space="preserve">Swarna Islam </t>
        </is>
      </c>
      <c r="G256" s="60" t="n">
        <v>1776222323</v>
      </c>
      <c r="H256" s="61" t="inlineStr">
        <is>
          <t>Sirajganj</t>
        </is>
      </c>
      <c r="I256" s="63" t="inlineStr">
        <is>
          <t>Fashion</t>
        </is>
      </c>
      <c r="J256" s="63" t="inlineStr">
        <is>
          <t>Fashion</t>
        </is>
      </c>
      <c r="K256" s="62" t="n">
        <v>44</v>
      </c>
      <c r="L256" s="63" t="inlineStr">
        <is>
          <t>3 pis Muslim wear Black hijab inner cap for women synthetic soft cotton</t>
        </is>
      </c>
      <c r="M256" s="63" t="n"/>
      <c r="N256" s="79" t="n"/>
      <c r="O256" s="79" t="n"/>
      <c r="P256" s="79" t="n"/>
      <c r="Q256" s="79" t="n"/>
      <c r="R256" s="79" t="n"/>
      <c r="S256" s="79" t="n"/>
      <c r="T256" s="79" t="n"/>
      <c r="U256" s="79" t="n"/>
      <c r="V256" s="79" t="n"/>
      <c r="W256" s="79" t="n"/>
      <c r="X256" s="79" t="n"/>
      <c r="Y256" s="79" t="n"/>
      <c r="Z256" s="79" t="n"/>
    </row>
    <row r="257">
      <c r="A257" s="63" t="n"/>
      <c r="B257" s="62" t="n">
        <v>25091666222182</v>
      </c>
      <c r="C257" s="58" t="n"/>
      <c r="D257" s="65" t="n"/>
      <c r="E257" s="62" t="n">
        <v>693367</v>
      </c>
      <c r="F257" s="63" t="inlineStr">
        <is>
          <t xml:space="preserve">AMJAD HOSSAIN </t>
        </is>
      </c>
      <c r="G257" s="60" t="n">
        <v>1716007775</v>
      </c>
      <c r="H257" s="61" t="inlineStr">
        <is>
          <t>Sirajganj</t>
        </is>
      </c>
      <c r="I257" s="63" t="inlineStr">
        <is>
          <t>Lifestyle</t>
        </is>
      </c>
      <c r="J257" s="63" t="inlineStr">
        <is>
          <t>Kitchen  Dining</t>
        </is>
      </c>
      <c r="K257" s="62" t="n">
        <v>240</v>
      </c>
      <c r="L257" s="63" t="inlineStr">
        <is>
          <t>First Deal Best Quality Digital Scale 10kg 1g Household Weight Scales Platform Electronic Balance Kitchen scale Baking Measure Food Cooking Tools</t>
        </is>
      </c>
      <c r="M257" s="63" t="n"/>
      <c r="N257" s="79" t="n"/>
      <c r="O257" s="79" t="n"/>
      <c r="P257" s="79" t="n"/>
      <c r="Q257" s="79" t="n"/>
      <c r="R257" s="79" t="n"/>
      <c r="S257" s="79" t="n"/>
      <c r="T257" s="79" t="n"/>
      <c r="U257" s="79" t="n"/>
      <c r="V257" s="79" t="n"/>
      <c r="W257" s="79" t="n"/>
      <c r="X257" s="79" t="n"/>
      <c r="Y257" s="79" t="n"/>
      <c r="Z257" s="79" t="n"/>
    </row>
    <row r="258">
      <c r="A258" s="63" t="n"/>
      <c r="B258" s="62" t="n">
        <v>25091666683437</v>
      </c>
      <c r="C258" s="58" t="n"/>
      <c r="D258" s="65" t="n"/>
      <c r="E258" s="62" t="n">
        <v>693457</v>
      </c>
      <c r="F258" s="63" t="inlineStr">
        <is>
          <t xml:space="preserve">Arafat Islam Anu </t>
        </is>
      </c>
      <c r="G258" s="60" t="n">
        <v>1739541901</v>
      </c>
      <c r="H258" s="61" t="inlineStr">
        <is>
          <t>Sirajganj</t>
        </is>
      </c>
      <c r="I258" s="63" t="inlineStr">
        <is>
          <t>Electronics</t>
        </is>
      </c>
      <c r="J258" s="63" t="inlineStr">
        <is>
          <t>Cameras</t>
        </is>
      </c>
      <c r="K258" s="62" t="n">
        <v>295</v>
      </c>
      <c r="L258" s="63" t="inlineStr">
        <is>
          <t>500 Set (1000 pcs) Mobile Laptop Screen/glass cleaner wet &amp; dry Wipes.</t>
        </is>
      </c>
      <c r="M258" s="63" t="n"/>
      <c r="N258" s="79" t="n"/>
      <c r="O258" s="79" t="n"/>
      <c r="P258" s="79" t="n"/>
      <c r="Q258" s="79" t="n"/>
      <c r="R258" s="79" t="n"/>
      <c r="S258" s="79" t="n"/>
      <c r="T258" s="79" t="n"/>
      <c r="U258" s="79" t="n"/>
      <c r="V258" s="79" t="n"/>
      <c r="W258" s="79" t="n"/>
      <c r="X258" s="79" t="n"/>
      <c r="Y258" s="79" t="n"/>
      <c r="Z258" s="79" t="n"/>
    </row>
    <row r="259">
      <c r="A259" s="63" t="n"/>
      <c r="B259" s="62" t="n">
        <v>25091621287845</v>
      </c>
      <c r="C259" s="67" t="inlineStr">
        <is>
          <t>Mir Ahsan Abid</t>
        </is>
      </c>
      <c r="D259" s="63" t="n"/>
      <c r="E259" s="62" t="n">
        <v>378600</v>
      </c>
      <c r="F259" s="63" t="inlineStr">
        <is>
          <t xml:space="preserve">Aniya Jannat </t>
        </is>
      </c>
      <c r="G259" s="60" t="n">
        <v>1754217585</v>
      </c>
      <c r="H259" s="66" t="inlineStr">
        <is>
          <t>Sunamganj</t>
        </is>
      </c>
      <c r="I259" s="63" t="inlineStr">
        <is>
          <t>Fashion</t>
        </is>
      </c>
      <c r="J259" s="63" t="inlineStr">
        <is>
          <t>Fashion</t>
        </is>
      </c>
      <c r="K259" s="62" t="n">
        <v>387</v>
      </c>
      <c r="L259" s="63" t="inlineStr">
        <is>
          <t>Premium Quality Women Sandals Casual Ladies Semi High Heels Shoes for Girls - Shoe For Women</t>
        </is>
      </c>
      <c r="M259" s="63" t="inlineStr">
        <is>
          <t>Not Connected</t>
        </is>
      </c>
      <c r="N259" s="79" t="n"/>
      <c r="O259" s="79" t="n"/>
      <c r="P259" s="79" t="n"/>
      <c r="Q259" s="79" t="n"/>
      <c r="R259" s="79" t="n"/>
      <c r="S259" s="79" t="n"/>
      <c r="T259" s="79" t="n"/>
      <c r="U259" s="79" t="n"/>
      <c r="V259" s="79" t="n"/>
      <c r="W259" s="79" t="n"/>
      <c r="X259" s="79" t="n"/>
      <c r="Y259" s="79" t="n"/>
      <c r="Z259" s="79" t="n"/>
    </row>
    <row r="260">
      <c r="A260" s="63" t="n"/>
      <c r="B260" s="62" t="n">
        <v>25091622389513</v>
      </c>
      <c r="C260" s="67" t="inlineStr">
        <is>
          <t>Mir Ahsan Abid</t>
        </is>
      </c>
      <c r="D260" s="63" t="n"/>
      <c r="E260" s="62" t="n">
        <v>640450</v>
      </c>
      <c r="F260" s="63" t="inlineStr">
        <is>
          <t xml:space="preserve">Rahim Ahmod </t>
        </is>
      </c>
      <c r="G260" s="60" t="n">
        <v>1326970061</v>
      </c>
      <c r="H260" s="61" t="inlineStr">
        <is>
          <t>Sunamganj</t>
        </is>
      </c>
      <c r="I260" s="63" t="inlineStr">
        <is>
          <t>Electronics</t>
        </is>
      </c>
      <c r="J260" s="63" t="inlineStr">
        <is>
          <t>Computers  Laptops</t>
        </is>
      </c>
      <c r="K260" s="62" t="n">
        <v>162</v>
      </c>
      <c r="L260" s="63" t="inlineStr">
        <is>
          <t>X1 1200 Dpi M6 7 Color Led Light Gaming Mouse - Black - Optical Tracing System, 5 Million Clicks - Transparent  Mouse</t>
        </is>
      </c>
      <c r="M260" s="63" t="inlineStr">
        <is>
          <t>Not Connected</t>
        </is>
      </c>
      <c r="N260" s="79" t="n"/>
      <c r="O260" s="79" t="n"/>
      <c r="P260" s="79" t="n"/>
      <c r="Q260" s="79" t="n"/>
      <c r="R260" s="79" t="n"/>
      <c r="S260" s="79" t="n"/>
      <c r="T260" s="79" t="n"/>
      <c r="U260" s="79" t="n"/>
      <c r="V260" s="79" t="n"/>
      <c r="W260" s="79" t="n"/>
      <c r="X260" s="79" t="n"/>
      <c r="Y260" s="79" t="n"/>
      <c r="Z260" s="79" t="n"/>
    </row>
    <row r="261">
      <c r="A261" s="63" t="n"/>
      <c r="B261" s="62" t="n">
        <v>25091652819389</v>
      </c>
      <c r="C261" s="58" t="n"/>
      <c r="D261" s="65" t="n"/>
      <c r="E261" s="62" t="n">
        <v>687755</v>
      </c>
      <c r="F261" s="63" t="inlineStr">
        <is>
          <t xml:space="preserve">Ridoy Roy </t>
        </is>
      </c>
      <c r="G261" s="60" t="n">
        <v>1841458088</v>
      </c>
      <c r="H261" s="66" t="inlineStr">
        <is>
          <t>Sunamganj</t>
        </is>
      </c>
      <c r="I261" s="63" t="inlineStr">
        <is>
          <t>Fashion</t>
        </is>
      </c>
      <c r="J261" s="63" t="inlineStr">
        <is>
          <t>Fashion</t>
        </is>
      </c>
      <c r="K261" s="62" t="n">
        <v>815</v>
      </c>
      <c r="L261" s="63" t="inlineStr">
        <is>
          <t>Exclusive Designer Block Print Half Silk Saree &amp; Dhupian Silk Panjabi Combo For Couple Stylish &amp; fashionable Combo Dress - Panjabi</t>
        </is>
      </c>
      <c r="M261" s="63" t="n"/>
      <c r="N261" s="79" t="n"/>
      <c r="O261" s="79" t="n"/>
      <c r="P261" s="79" t="n"/>
      <c r="Q261" s="79" t="n"/>
      <c r="R261" s="79" t="n"/>
      <c r="S261" s="79" t="n"/>
      <c r="T261" s="79" t="n"/>
      <c r="U261" s="79" t="n"/>
      <c r="V261" s="79" t="n"/>
      <c r="W261" s="79" t="n"/>
      <c r="X261" s="79" t="n"/>
      <c r="Y261" s="79" t="n"/>
      <c r="Z261" s="79" t="n"/>
    </row>
    <row r="262">
      <c r="A262" s="63" t="n"/>
      <c r="B262" s="62" t="n">
        <v>25091656592094</v>
      </c>
      <c r="C262" s="58" t="n"/>
      <c r="D262" s="65" t="n"/>
      <c r="E262" s="62" t="n">
        <v>514275</v>
      </c>
      <c r="F262" s="63" t="inlineStr">
        <is>
          <t xml:space="preserve">mahadi hasan Rajeb </t>
        </is>
      </c>
      <c r="G262" s="60" t="n">
        <v>1713927175</v>
      </c>
      <c r="H262" s="66" t="inlineStr">
        <is>
          <t>Sunamganj</t>
        </is>
      </c>
      <c r="I262" s="63" t="inlineStr">
        <is>
          <t>FMCG</t>
        </is>
      </c>
      <c r="J262" s="63" t="inlineStr">
        <is>
          <t>Health  Beauty</t>
        </is>
      </c>
      <c r="K262" s="62" t="n">
        <v>125</v>
      </c>
      <c r="L262" s="63" t="inlineStr">
        <is>
          <t>Red King Men's Cooling Oil 100ml</t>
        </is>
      </c>
      <c r="M262" s="63" t="n"/>
      <c r="N262" s="79" t="n"/>
      <c r="O262" s="79" t="n"/>
      <c r="P262" s="79" t="n"/>
      <c r="Q262" s="79" t="n"/>
      <c r="R262" s="79" t="n"/>
      <c r="S262" s="79" t="n"/>
      <c r="T262" s="79" t="n"/>
      <c r="U262" s="79" t="n"/>
      <c r="V262" s="79" t="n"/>
      <c r="W262" s="79" t="n"/>
      <c r="X262" s="79" t="n"/>
      <c r="Y262" s="79" t="n"/>
      <c r="Z262" s="79" t="n"/>
    </row>
    <row r="263">
      <c r="A263" s="63" t="n"/>
      <c r="B263" s="62" t="n">
        <v>25091616155619</v>
      </c>
      <c r="C263" s="67" t="inlineStr">
        <is>
          <t>Mir Ahsan Abid</t>
        </is>
      </c>
      <c r="D263" s="63" t="n"/>
      <c r="E263" s="62" t="n">
        <v>463468</v>
      </c>
      <c r="F263" s="63" t="inlineStr">
        <is>
          <t xml:space="preserve">Mr./Ms. </t>
        </is>
      </c>
      <c r="G263" s="60" t="n">
        <v>1316750826</v>
      </c>
      <c r="H263" s="66" t="inlineStr">
        <is>
          <t>Sylhet</t>
        </is>
      </c>
      <c r="I263" s="63" t="inlineStr">
        <is>
          <t>FMCG</t>
        </is>
      </c>
      <c r="J263" s="63" t="inlineStr">
        <is>
          <t>Groceries</t>
        </is>
      </c>
      <c r="K263" s="62" t="n">
        <v>329</v>
      </c>
      <c r="L263" s="63" t="inlineStr">
        <is>
          <t>Starship Full Cream Milk Powder - 500 gm</t>
        </is>
      </c>
      <c r="M263" s="63" t="inlineStr">
        <is>
          <t>Not Connected</t>
        </is>
      </c>
      <c r="N263" s="79" t="n"/>
      <c r="O263" s="79" t="n"/>
      <c r="P263" s="79" t="n"/>
      <c r="Q263" s="79" t="n"/>
      <c r="R263" s="79" t="n"/>
      <c r="S263" s="79" t="n"/>
      <c r="T263" s="79" t="n"/>
      <c r="U263" s="79" t="n"/>
      <c r="V263" s="79" t="n"/>
      <c r="W263" s="79" t="n"/>
      <c r="X263" s="79" t="n"/>
      <c r="Y263" s="79" t="n"/>
      <c r="Z263" s="79" t="n"/>
    </row>
    <row r="264">
      <c r="A264" s="63" t="n"/>
      <c r="B264" s="62" t="n">
        <v>25091619526672</v>
      </c>
      <c r="C264" s="67" t="inlineStr">
        <is>
          <t>Mir Ahsan Abid</t>
        </is>
      </c>
      <c r="D264" s="63" t="n"/>
      <c r="E264" s="62" t="n">
        <v>685048</v>
      </c>
      <c r="F264" s="63" t="inlineStr">
        <is>
          <t xml:space="preserve">Rabbi Miya </t>
        </is>
      </c>
      <c r="G264" s="60" t="n">
        <v>1768759389</v>
      </c>
      <c r="H264" s="66" t="inlineStr">
        <is>
          <t>Sylhet</t>
        </is>
      </c>
      <c r="I264" s="63" t="inlineStr">
        <is>
          <t>Electronics</t>
        </is>
      </c>
      <c r="J264" s="63" t="inlineStr">
        <is>
          <t>TV, Audio / Video, Gaming  Wearables</t>
        </is>
      </c>
      <c r="K264" s="62" t="n">
        <v>799</v>
      </c>
      <c r="L264" s="63" t="inlineStr">
        <is>
          <t>Y80 Ultra Smart Watch Touch Screen 8+1 Strap</t>
        </is>
      </c>
      <c r="M264" s="63" t="inlineStr">
        <is>
          <t>Not Connected</t>
        </is>
      </c>
      <c r="N264" s="79" t="n"/>
      <c r="O264" s="79" t="n"/>
      <c r="P264" s="79" t="n"/>
      <c r="Q264" s="79" t="n"/>
      <c r="R264" s="79" t="n"/>
      <c r="S264" s="79" t="n"/>
      <c r="T264" s="79" t="n"/>
      <c r="U264" s="79" t="n"/>
      <c r="V264" s="79" t="n"/>
      <c r="W264" s="79" t="n"/>
      <c r="X264" s="79" t="n"/>
      <c r="Y264" s="79" t="n"/>
      <c r="Z264" s="79" t="n"/>
    </row>
    <row r="265">
      <c r="A265" s="63" t="n"/>
      <c r="B265" s="62" t="n">
        <v>25091621905382</v>
      </c>
      <c r="C265" s="67" t="inlineStr">
        <is>
          <t>Mir Ahsan Abid</t>
        </is>
      </c>
      <c r="D265" s="63" t="n"/>
      <c r="E265" s="62" t="n">
        <v>687284</v>
      </c>
      <c r="F265" s="63" t="inlineStr">
        <is>
          <t xml:space="preserve">Farid Uddin </t>
        </is>
      </c>
      <c r="G265" s="60" t="n">
        <v>1719578752</v>
      </c>
      <c r="H265" s="61" t="inlineStr">
        <is>
          <t>Sylhet</t>
        </is>
      </c>
      <c r="I265" s="63" t="inlineStr">
        <is>
          <t>FMCG</t>
        </is>
      </c>
      <c r="J265" s="63" t="inlineStr">
        <is>
          <t>Mother  Baby</t>
        </is>
      </c>
      <c r="K265" s="62" t="n">
        <v>519</v>
      </c>
      <c r="L265" s="63" t="inlineStr">
        <is>
          <t>Green color Electric Baby Nasal Aspirator Electric Nose Cleaner Sniffling Equipment Safe Hygienic Nose Snot Cleaner For Newborns-D Shop</t>
        </is>
      </c>
      <c r="M265" s="63" t="inlineStr">
        <is>
          <t>Not Connected</t>
        </is>
      </c>
      <c r="N265" s="79" t="n"/>
      <c r="O265" s="79" t="n"/>
      <c r="P265" s="79" t="n"/>
      <c r="Q265" s="79" t="n"/>
      <c r="R265" s="79" t="n"/>
      <c r="S265" s="79" t="n"/>
      <c r="T265" s="79" t="n"/>
      <c r="U265" s="79" t="n"/>
      <c r="V265" s="79" t="n"/>
      <c r="W265" s="79" t="n"/>
      <c r="X265" s="79" t="n"/>
      <c r="Y265" s="79" t="n"/>
      <c r="Z265" s="79" t="n"/>
    </row>
    <row r="266">
      <c r="A266" s="63" t="n"/>
      <c r="B266" s="62" t="n">
        <v>25091625751716</v>
      </c>
      <c r="C266" s="67" t="inlineStr">
        <is>
          <t>Mir Ahsan Abid</t>
        </is>
      </c>
      <c r="D266" s="63" t="n"/>
      <c r="E266" s="62" t="n">
        <v>658873</v>
      </c>
      <c r="F266" s="63" t="inlineStr">
        <is>
          <t xml:space="preserve">ridoy (jannat ar abbu) </t>
        </is>
      </c>
      <c r="G266" s="60" t="n">
        <v>1986878104</v>
      </c>
      <c r="H266" s="66" t="inlineStr">
        <is>
          <t>Sylhet</t>
        </is>
      </c>
      <c r="I266" s="63" t="inlineStr">
        <is>
          <t>FMCG</t>
        </is>
      </c>
      <c r="J266" s="63" t="inlineStr">
        <is>
          <t>Health  Beauty</t>
        </is>
      </c>
      <c r="K266" s="62" t="n">
        <v>364</v>
      </c>
      <c r="L266" s="63" t="inlineStr">
        <is>
          <t>Vintage T9 Hair Cutting Machine</t>
        </is>
      </c>
      <c r="M266" s="63" t="inlineStr">
        <is>
          <t>Not Connected</t>
        </is>
      </c>
      <c r="N266" s="79" t="n"/>
      <c r="O266" s="79" t="n"/>
      <c r="P266" s="79" t="n"/>
      <c r="Q266" s="79" t="n"/>
      <c r="R266" s="79" t="n"/>
      <c r="S266" s="79" t="n"/>
      <c r="T266" s="79" t="n"/>
      <c r="U266" s="79" t="n"/>
      <c r="V266" s="79" t="n"/>
      <c r="W266" s="79" t="n"/>
      <c r="X266" s="79" t="n"/>
      <c r="Y266" s="79" t="n"/>
      <c r="Z266" s="79" t="n"/>
    </row>
    <row r="267">
      <c r="A267" s="63" t="n"/>
      <c r="B267" s="62" t="n">
        <v>25091610246900</v>
      </c>
      <c r="C267" s="67" t="inlineStr">
        <is>
          <t>Mir Ahsan Abid</t>
        </is>
      </c>
      <c r="D267" s="65" t="n"/>
      <c r="E267" s="62" t="n">
        <v>246489</v>
      </c>
      <c r="F267" s="63" t="inlineStr">
        <is>
          <t>Mr Sadique</t>
        </is>
      </c>
      <c r="G267" s="60" t="n">
        <v>1711385719</v>
      </c>
      <c r="H267" s="61" t="inlineStr">
        <is>
          <t>Tangail</t>
        </is>
      </c>
      <c r="I267" s="63" t="inlineStr">
        <is>
          <t>FMCG</t>
        </is>
      </c>
      <c r="J267" s="63" t="inlineStr">
        <is>
          <t>Health  Beauty</t>
        </is>
      </c>
      <c r="K267" s="62" t="n">
        <v>545</v>
      </c>
      <c r="L267" s="63" t="inlineStr">
        <is>
          <t>Senora Panty Sanitary Napkin  - 15pads</t>
        </is>
      </c>
      <c r="M267" s="63" t="inlineStr">
        <is>
          <t>Not Connected</t>
        </is>
      </c>
      <c r="N267" s="79" t="n"/>
      <c r="O267" s="79" t="n"/>
      <c r="P267" s="79" t="n"/>
      <c r="Q267" s="79" t="n"/>
      <c r="R267" s="79" t="n"/>
      <c r="S267" s="79" t="n"/>
      <c r="T267" s="79" t="n"/>
      <c r="U267" s="70" t="n"/>
      <c r="V267" s="79" t="n"/>
      <c r="W267" s="79" t="n"/>
      <c r="X267" s="69" t="n"/>
      <c r="Y267" s="79" t="n"/>
      <c r="Z267" s="79" t="n"/>
    </row>
    <row r="268">
      <c r="A268" s="63" t="n"/>
      <c r="B268" s="62" t="n">
        <v>25091613206400</v>
      </c>
      <c r="C268" s="67" t="inlineStr">
        <is>
          <t>Mir Ahsan Abid</t>
        </is>
      </c>
      <c r="D268" s="63" t="n"/>
      <c r="E268" s="62" t="n">
        <v>337208</v>
      </c>
      <c r="F268" s="63" t="inlineStr">
        <is>
          <t>Ashik Chowdhury</t>
        </is>
      </c>
      <c r="G268" s="60" t="n">
        <v>1837116599</v>
      </c>
      <c r="H268" s="61" t="inlineStr">
        <is>
          <t>Tangail</t>
        </is>
      </c>
      <c r="I268" s="63" t="inlineStr">
        <is>
          <t>Lifestyle</t>
        </is>
      </c>
      <c r="J268" s="63" t="inlineStr">
        <is>
          <t>Motors</t>
        </is>
      </c>
      <c r="K268" s="62" t="n">
        <v>12918</v>
      </c>
      <c r="L268" s="63" t="inlineStr">
        <is>
          <t>Mobil 1 0W-20 Full Synthetic Car engine oil - 4 Liter</t>
        </is>
      </c>
      <c r="M268" s="63" t="inlineStr">
        <is>
          <t xml:space="preserve">Connected </t>
        </is>
      </c>
      <c r="N268" s="79" t="inlineStr">
        <is>
          <t>Yes</t>
        </is>
      </c>
      <c r="O268" s="79" t="inlineStr">
        <is>
          <t>Earlier than expected</t>
        </is>
      </c>
      <c r="P268" s="79" t="n"/>
      <c r="Q268" s="79" t="n"/>
      <c r="R268" s="79" t="inlineStr">
        <is>
          <t>Very polite</t>
        </is>
      </c>
      <c r="S268" s="79" t="inlineStr">
        <is>
          <t>Not Damaged</t>
        </is>
      </c>
      <c r="T268" s="79" t="inlineStr">
        <is>
          <t>Didn't check</t>
        </is>
      </c>
      <c r="U268" s="79" t="n"/>
      <c r="V268" s="79" t="n"/>
      <c r="W268" s="79" t="n">
        <v>8</v>
      </c>
      <c r="X268" s="79" t="n"/>
      <c r="Y268" s="79" t="inlineStr">
        <is>
          <t>Positive</t>
        </is>
      </c>
      <c r="Z268" s="79" t="n"/>
    </row>
    <row r="269">
      <c r="A269" s="63" t="n"/>
      <c r="B269" s="62" t="n">
        <v>25091618937492</v>
      </c>
      <c r="C269" s="67" t="inlineStr">
        <is>
          <t>Mir Ahsan Abid</t>
        </is>
      </c>
      <c r="D269" s="63" t="n"/>
      <c r="E269" s="62" t="n">
        <v>641906</v>
      </c>
      <c r="F269" s="63" t="inlineStr">
        <is>
          <t xml:space="preserve">MD Masum </t>
        </is>
      </c>
      <c r="G269" s="60" t="n">
        <v>1307636169</v>
      </c>
      <c r="H269" s="61" t="inlineStr">
        <is>
          <t>Tangail</t>
        </is>
      </c>
      <c r="I269" s="63" t="inlineStr">
        <is>
          <t>Electronics</t>
        </is>
      </c>
      <c r="J269" s="63" t="inlineStr">
        <is>
          <t>Cameras</t>
        </is>
      </c>
      <c r="K269" s="62" t="n">
        <v>115</v>
      </c>
      <c r="L269" s="63" t="inlineStr">
        <is>
          <t>Tempered Glass Screen Lens Protector for GoPro Hero 9 /10/11/12 GoPro Screen &amp; Lens Protector</t>
        </is>
      </c>
      <c r="M269" s="63" t="inlineStr">
        <is>
          <t>Not Connected</t>
        </is>
      </c>
      <c r="N269" s="79" t="n"/>
      <c r="O269" s="79" t="n"/>
      <c r="P269" s="79" t="n"/>
      <c r="Q269" s="79" t="n"/>
      <c r="R269" s="79" t="n"/>
      <c r="S269" s="79" t="n"/>
      <c r="T269" s="79" t="n"/>
      <c r="U269" s="79" t="n"/>
      <c r="V269" s="79" t="n"/>
      <c r="W269" s="79" t="n"/>
      <c r="X269" s="79" t="n"/>
      <c r="Y269" s="79" t="n"/>
      <c r="Z269" s="79" t="n"/>
    </row>
    <row r="270">
      <c r="A270" s="63" t="n"/>
      <c r="B270" s="62" t="n">
        <v>25091628347366</v>
      </c>
      <c r="C270" s="58" t="n"/>
      <c r="D270" s="63" t="n"/>
      <c r="E270" s="62" t="n">
        <v>566509</v>
      </c>
      <c r="F270" s="63" t="inlineStr">
        <is>
          <t xml:space="preserve">Jihad Hasan </t>
        </is>
      </c>
      <c r="G270" s="60" t="n">
        <v>1849879280</v>
      </c>
      <c r="H270" s="61" t="inlineStr">
        <is>
          <t>Tangail</t>
        </is>
      </c>
      <c r="I270" s="63" t="inlineStr">
        <is>
          <t>Lifestyle</t>
        </is>
      </c>
      <c r="J270" s="63" t="inlineStr">
        <is>
          <t>Kitchen  Dining</t>
        </is>
      </c>
      <c r="K270" s="62" t="n">
        <v>240</v>
      </c>
      <c r="L270" s="63" t="inlineStr">
        <is>
          <t>First Deal Best Quality Digital Scale 10kg 1g Household Weight Scales Platform Electronic Balance Kitchen scale Baking Measure Food Cooking Tools</t>
        </is>
      </c>
      <c r="M270" s="63" t="inlineStr">
        <is>
          <t>Not Connected</t>
        </is>
      </c>
      <c r="N270" s="79" t="n"/>
      <c r="O270" s="79" t="n"/>
      <c r="P270" s="79" t="n"/>
      <c r="Q270" s="79" t="n"/>
      <c r="R270" s="79" t="n"/>
      <c r="S270" s="79" t="n"/>
      <c r="T270" s="79" t="n"/>
      <c r="U270" s="79" t="n"/>
      <c r="V270" s="79" t="n"/>
      <c r="W270" s="79" t="n"/>
      <c r="X270" s="79" t="n"/>
      <c r="Y270" s="79" t="n"/>
      <c r="Z270" s="79" t="n"/>
    </row>
    <row r="271">
      <c r="A271" s="63" t="n"/>
      <c r="B271" s="62" t="n">
        <v>25091667008573</v>
      </c>
      <c r="C271" s="58" t="n"/>
      <c r="D271" s="65" t="n"/>
      <c r="E271" s="62" t="n">
        <v>687707</v>
      </c>
      <c r="F271" s="63" t="inlineStr">
        <is>
          <t xml:space="preserve">Mr./Ms. </t>
        </is>
      </c>
      <c r="G271" s="60" t="n">
        <v>1766151722</v>
      </c>
      <c r="H271" s="61" t="inlineStr">
        <is>
          <t>Thakurgaon</t>
        </is>
      </c>
      <c r="I271" s="63" t="inlineStr">
        <is>
          <t>Fashion</t>
        </is>
      </c>
      <c r="J271" s="63" t="inlineStr">
        <is>
          <t>Fashion</t>
        </is>
      </c>
      <c r="K271" s="62" t="n">
        <v>477</v>
      </c>
      <c r="L271" s="63" t="inlineStr">
        <is>
          <t>New Multi-Color -Hot Collection Stylish and Fashionable Summer and Winter Exclusive Sneakers Converse Shoes for Men- Innovative Shoe</t>
        </is>
      </c>
      <c r="M271" s="63" t="n"/>
      <c r="N271" s="79" t="n"/>
      <c r="O271" s="79" t="n"/>
      <c r="P271" s="79" t="n"/>
      <c r="Q271" s="79" t="n"/>
      <c r="R271" s="79" t="n"/>
      <c r="S271" s="79" t="n"/>
      <c r="T271" s="79" t="n"/>
      <c r="U271" s="79" t="n"/>
      <c r="V271" s="79" t="n"/>
      <c r="W271" s="79" t="n"/>
      <c r="X271" s="79" t="n"/>
      <c r="Y271" s="79" t="n"/>
      <c r="Z271" s="79" t="n"/>
    </row>
    <row r="272">
      <c r="A272" s="63" t="n"/>
      <c r="B272" s="62" t="n">
        <v>25091670601374</v>
      </c>
      <c r="C272" s="58" t="n"/>
      <c r="D272" s="65" t="n"/>
      <c r="E272" s="62" t="n">
        <v>655981</v>
      </c>
      <c r="F272" s="63" t="inlineStr">
        <is>
          <t xml:space="preserve">Bisnu Ray </t>
        </is>
      </c>
      <c r="G272" s="60" t="n">
        <v>1788088370</v>
      </c>
      <c r="H272" s="61" t="inlineStr">
        <is>
          <t>Thakurgaon</t>
        </is>
      </c>
      <c r="I272" s="63" t="inlineStr">
        <is>
          <t>Electronics</t>
        </is>
      </c>
      <c r="J272" s="63" t="inlineStr">
        <is>
          <t>TV, Audio / Video, Gaming  Wearables</t>
        </is>
      </c>
      <c r="K272" s="62" t="n">
        <v>209</v>
      </c>
      <c r="L272" s="63" t="inlineStr">
        <is>
          <t>M10 TWS Wireless Earbuds</t>
        </is>
      </c>
      <c r="M272" s="63" t="n"/>
      <c r="N272" s="79" t="n"/>
      <c r="O272" s="79" t="n"/>
      <c r="P272" s="79" t="n"/>
      <c r="Q272" s="79" t="n"/>
      <c r="R272" s="79" t="n"/>
      <c r="S272" s="79" t="n"/>
      <c r="T272" s="79" t="n"/>
      <c r="U272" s="79" t="n"/>
      <c r="V272" s="79" t="n"/>
      <c r="W272" s="79" t="n"/>
      <c r="X272" s="79" t="n"/>
      <c r="Y272" s="79" t="n"/>
      <c r="Z272" s="79" t="n"/>
    </row>
    <row r="273">
      <c r="A273" s="63" t="n"/>
      <c r="B273" s="62" t="n">
        <v>25091673515839</v>
      </c>
      <c r="C273" s="58" t="n"/>
      <c r="D273" s="65" t="n"/>
      <c r="E273" s="62" t="n">
        <v>685038</v>
      </c>
      <c r="F273" s="63" t="inlineStr">
        <is>
          <t xml:space="preserve">Delowar Hossain </t>
        </is>
      </c>
      <c r="G273" s="60" t="n">
        <v>1715204269</v>
      </c>
      <c r="H273" s="66" t="inlineStr">
        <is>
          <t>Thakurgaon</t>
        </is>
      </c>
      <c r="I273" s="63" t="inlineStr">
        <is>
          <t>Lifestyle</t>
        </is>
      </c>
      <c r="J273" s="63" t="inlineStr">
        <is>
          <t>Kitchen  Dining</t>
        </is>
      </c>
      <c r="K273" s="62" t="n">
        <v>318</v>
      </c>
      <c r="L273" s="63" t="inlineStr">
        <is>
          <t>12 Pieces Aluminum Foil Paper 1</t>
        </is>
      </c>
      <c r="M273" s="63" t="n"/>
      <c r="N273" s="79" t="n"/>
      <c r="O273" s="79" t="n"/>
      <c r="P273" s="79" t="n"/>
      <c r="Q273" s="79" t="n"/>
      <c r="R273" s="79" t="n"/>
      <c r="S273" s="79" t="n"/>
      <c r="T273" s="79" t="n"/>
      <c r="U273" s="79" t="n"/>
      <c r="V273" s="79" t="n"/>
      <c r="W273" s="79" t="n"/>
      <c r="X273" s="79" t="n"/>
      <c r="Y273" s="79" t="n"/>
      <c r="Z273" s="79" t="n"/>
    </row>
    <row r="274">
      <c r="A274" s="63" t="n"/>
      <c r="B274" s="62" t="n">
        <v>25091678028283</v>
      </c>
      <c r="C274" s="58" t="n"/>
      <c r="D274" s="65" t="n"/>
      <c r="E274" s="62" t="n">
        <v>687917</v>
      </c>
      <c r="F274" s="63" t="inlineStr">
        <is>
          <t xml:space="preserve">Mr./Ms. </t>
        </is>
      </c>
      <c r="G274" s="60" t="n">
        <v>1724163175</v>
      </c>
      <c r="H274" s="66" t="inlineStr">
        <is>
          <t>Thakurgaon</t>
        </is>
      </c>
      <c r="I274" s="63" t="inlineStr">
        <is>
          <t>Lifestyle</t>
        </is>
      </c>
      <c r="J274" s="63" t="inlineStr">
        <is>
          <t>Bedding  Bath</t>
        </is>
      </c>
      <c r="K274" s="62" t="n">
        <v>799</v>
      </c>
      <c r="L274" s="63" t="inlineStr">
        <is>
          <t>Stylish and New digital weight scale - weight machine</t>
        </is>
      </c>
      <c r="M274" s="63" t="n"/>
      <c r="N274" s="79" t="n"/>
      <c r="O274" s="79" t="n"/>
      <c r="P274" s="79" t="n"/>
      <c r="Q274" s="79" t="n"/>
      <c r="R274" s="79" t="n"/>
      <c r="S274" s="79" t="n"/>
      <c r="T274" s="79" t="n"/>
      <c r="U274" s="79" t="n"/>
      <c r="V274" s="79" t="n"/>
      <c r="W274" s="79" t="n"/>
      <c r="X274" s="79" t="n"/>
      <c r="Y274" s="79" t="n"/>
      <c r="Z274" s="79" t="n"/>
    </row>
    <row r="275">
      <c r="A275" s="76" t="n"/>
      <c r="B275" s="75" t="n"/>
      <c r="C275" s="76" t="n"/>
      <c r="D275" s="74" t="n"/>
      <c r="E275" s="75" t="n"/>
      <c r="F275" s="76" t="n"/>
      <c r="G275" s="76" t="n"/>
      <c r="H275" s="76" t="n"/>
      <c r="I275" s="76" t="n"/>
      <c r="J275" s="76" t="n"/>
      <c r="K275" s="75" t="n"/>
      <c r="L275" s="76" t="n"/>
      <c r="M275" s="79" t="n"/>
      <c r="N275" s="79" t="n"/>
      <c r="O275" s="79" t="n"/>
      <c r="P275" s="79" t="n"/>
      <c r="Q275" s="79" t="n"/>
      <c r="R275" s="79" t="n"/>
      <c r="S275" s="79" t="n"/>
      <c r="T275" s="79" t="n"/>
      <c r="U275" s="79" t="n"/>
      <c r="V275" s="79" t="n"/>
      <c r="W275" s="79" t="n"/>
      <c r="X275" s="79" t="n"/>
      <c r="Y275" s="79" t="n"/>
      <c r="Z275" s="79" t="n"/>
    </row>
    <row r="276">
      <c r="A276" s="76" t="n"/>
      <c r="B276" s="75" t="n"/>
      <c r="C276" s="76" t="n"/>
      <c r="D276" s="74" t="n"/>
      <c r="E276" s="75" t="n"/>
      <c r="F276" s="76" t="n"/>
      <c r="G276" s="76" t="n"/>
      <c r="H276" s="76" t="n"/>
      <c r="I276" s="76" t="n"/>
      <c r="J276" s="76" t="n"/>
      <c r="K276" s="75" t="n"/>
      <c r="L276" s="76" t="n"/>
      <c r="M276" s="79" t="n"/>
      <c r="N276" s="79" t="n"/>
      <c r="O276" s="79" t="n"/>
      <c r="P276" s="79" t="n"/>
      <c r="Q276" s="79" t="n"/>
      <c r="R276" s="79" t="n"/>
      <c r="S276" s="79" t="n"/>
      <c r="T276" s="79" t="n"/>
      <c r="U276" s="79" t="n"/>
      <c r="V276" s="79" t="n"/>
      <c r="W276" s="79" t="n"/>
      <c r="X276" s="79" t="n"/>
      <c r="Y276" s="79" t="n"/>
      <c r="Z276" s="79" t="n"/>
    </row>
    <row r="277">
      <c r="A277" s="76" t="n"/>
      <c r="B277" s="75" t="n"/>
      <c r="C277" s="76" t="n"/>
      <c r="D277" s="74" t="n"/>
      <c r="E277" s="75" t="n"/>
      <c r="F277" s="76" t="n"/>
      <c r="G277" s="75" t="n"/>
      <c r="H277" s="76" t="n"/>
      <c r="I277" s="76" t="n"/>
      <c r="J277" s="76" t="n"/>
      <c r="K277" s="75" t="n"/>
      <c r="L277" s="76" t="n"/>
      <c r="M277" s="79" t="n"/>
      <c r="N277" s="79" t="n"/>
      <c r="O277" s="79" t="n"/>
      <c r="P277" s="79" t="n"/>
      <c r="Q277" s="79" t="n"/>
      <c r="R277" s="79" t="n"/>
      <c r="S277" s="79" t="n"/>
      <c r="T277" s="79" t="n"/>
      <c r="U277" s="79" t="n"/>
      <c r="V277" s="79" t="n"/>
      <c r="W277" s="79" t="n"/>
      <c r="X277" s="79" t="n"/>
      <c r="Y277" s="79" t="n"/>
      <c r="Z277" s="79" t="n"/>
    </row>
    <row r="278">
      <c r="A278" s="76" t="n"/>
      <c r="B278" s="75" t="n"/>
      <c r="C278" s="76" t="n"/>
      <c r="D278" s="74" t="n"/>
      <c r="E278" s="75" t="n"/>
      <c r="F278" s="76" t="n"/>
      <c r="G278" s="75" t="n"/>
      <c r="H278" s="76" t="n"/>
      <c r="I278" s="76" t="n"/>
      <c r="J278" s="76" t="n"/>
      <c r="K278" s="75" t="n"/>
      <c r="L278" s="76" t="n"/>
      <c r="M278" s="79" t="n"/>
      <c r="N278" s="79" t="n"/>
      <c r="O278" s="79" t="n"/>
      <c r="P278" s="79" t="n"/>
      <c r="Q278" s="79" t="n"/>
      <c r="R278" s="79" t="n"/>
      <c r="S278" s="79" t="n"/>
      <c r="T278" s="79" t="n"/>
      <c r="U278" s="79" t="n"/>
      <c r="V278" s="79" t="n"/>
      <c r="W278" s="79" t="n"/>
      <c r="X278" s="79" t="n"/>
      <c r="Y278" s="79" t="n"/>
      <c r="Z278" s="79" t="n"/>
    </row>
    <row r="279">
      <c r="A279" s="76" t="n"/>
      <c r="B279" s="75" t="n"/>
      <c r="C279" s="76" t="n"/>
      <c r="D279" s="74" t="n"/>
      <c r="E279" s="75" t="n"/>
      <c r="F279" s="76" t="n"/>
      <c r="G279" s="75" t="n"/>
      <c r="H279" s="76" t="n"/>
      <c r="I279" s="76" t="n"/>
      <c r="J279" s="76" t="n"/>
      <c r="K279" s="75" t="n"/>
      <c r="L279" s="76" t="n"/>
      <c r="M279" s="79" t="n"/>
      <c r="N279" s="79" t="n"/>
      <c r="O279" s="79" t="n"/>
      <c r="P279" s="79" t="n"/>
      <c r="Q279" s="79" t="n"/>
      <c r="R279" s="79" t="n"/>
      <c r="S279" s="79" t="n"/>
      <c r="T279" s="79" t="n"/>
      <c r="U279" s="79" t="n"/>
      <c r="V279" s="79" t="n"/>
      <c r="W279" s="79" t="n"/>
      <c r="X279" s="79" t="n"/>
      <c r="Y279" s="79" t="n"/>
      <c r="Z279" s="79" t="n"/>
    </row>
    <row r="280">
      <c r="A280" s="76" t="n"/>
      <c r="B280" s="75" t="n"/>
      <c r="C280" s="76" t="n"/>
      <c r="D280" s="74" t="n"/>
      <c r="E280" s="75" t="n"/>
      <c r="F280" s="76" t="n"/>
      <c r="G280" s="75" t="n"/>
      <c r="H280" s="76" t="n"/>
      <c r="I280" s="76" t="n"/>
      <c r="J280" s="76" t="n"/>
      <c r="K280" s="75" t="n"/>
      <c r="L280" s="76" t="n"/>
      <c r="M280" s="79" t="n"/>
      <c r="N280" s="79" t="n"/>
      <c r="O280" s="79" t="n"/>
      <c r="P280" s="79" t="n"/>
      <c r="Q280" s="79" t="n"/>
      <c r="R280" s="79" t="n"/>
      <c r="S280" s="79" t="n"/>
      <c r="T280" s="79" t="n"/>
      <c r="U280" s="79" t="n"/>
      <c r="V280" s="79" t="n"/>
      <c r="W280" s="79" t="n"/>
      <c r="X280" s="79" t="n"/>
      <c r="Y280" s="79" t="n"/>
      <c r="Z280" s="79" t="n"/>
    </row>
    <row r="281">
      <c r="A281" s="76" t="n"/>
      <c r="B281" s="75" t="n"/>
      <c r="C281" s="76" t="n"/>
      <c r="D281" s="74" t="n"/>
      <c r="E281" s="75" t="n"/>
      <c r="F281" s="76" t="n"/>
      <c r="G281" s="75" t="n"/>
      <c r="H281" s="76" t="n"/>
      <c r="I281" s="76" t="n"/>
      <c r="J281" s="76" t="n"/>
      <c r="K281" s="75" t="n"/>
      <c r="L281" s="76" t="n"/>
      <c r="M281" s="79" t="n"/>
      <c r="N281" s="79" t="n"/>
      <c r="O281" s="79" t="n"/>
      <c r="P281" s="79" t="n"/>
      <c r="Q281" s="79" t="n"/>
      <c r="R281" s="79" t="n"/>
      <c r="S281" s="79" t="n"/>
      <c r="T281" s="79" t="n"/>
      <c r="U281" s="79" t="n"/>
      <c r="V281" s="79" t="n"/>
      <c r="W281" s="79" t="n"/>
      <c r="X281" s="79" t="n"/>
      <c r="Y281" s="79" t="n"/>
      <c r="Z281" s="79" t="n"/>
    </row>
    <row r="282">
      <c r="A282" s="76" t="n"/>
      <c r="B282" s="75" t="n"/>
      <c r="C282" s="76" t="n"/>
      <c r="D282" s="74" t="n"/>
      <c r="E282" s="75" t="n"/>
      <c r="F282" s="76" t="n"/>
      <c r="G282" s="75" t="n"/>
      <c r="H282" s="76" t="n"/>
      <c r="I282" s="76" t="n"/>
      <c r="J282" s="76" t="n"/>
      <c r="K282" s="75" t="n"/>
      <c r="L282" s="76" t="n"/>
      <c r="M282" s="79" t="n"/>
      <c r="N282" s="79" t="n"/>
      <c r="O282" s="79" t="n"/>
      <c r="P282" s="79" t="n"/>
      <c r="Q282" s="79" t="n"/>
      <c r="R282" s="79" t="n"/>
      <c r="S282" s="79" t="n"/>
      <c r="T282" s="79" t="n"/>
      <c r="U282" s="79" t="n"/>
      <c r="V282" s="79" t="n"/>
      <c r="W282" s="79" t="n"/>
      <c r="X282" s="79" t="n"/>
      <c r="Y282" s="79" t="n"/>
      <c r="Z282" s="79" t="n"/>
    </row>
    <row r="283">
      <c r="A283" s="76" t="n"/>
      <c r="B283" s="75" t="n"/>
      <c r="C283" s="76" t="n"/>
      <c r="D283" s="74" t="n"/>
      <c r="E283" s="75" t="n"/>
      <c r="F283" s="76" t="n"/>
      <c r="G283" s="76" t="n"/>
      <c r="H283" s="76" t="n"/>
      <c r="I283" s="76" t="n"/>
      <c r="J283" s="76" t="n"/>
      <c r="K283" s="75" t="n"/>
      <c r="L283" s="76" t="n"/>
      <c r="M283" s="79" t="n"/>
      <c r="N283" s="79" t="n"/>
      <c r="O283" s="79" t="n"/>
      <c r="P283" s="79" t="n"/>
      <c r="Q283" s="79" t="n"/>
      <c r="R283" s="79" t="n"/>
      <c r="S283" s="79" t="n"/>
      <c r="T283" s="79" t="n"/>
      <c r="U283" s="79" t="n"/>
      <c r="V283" s="79" t="n"/>
      <c r="W283" s="79" t="n"/>
      <c r="X283" s="79" t="n"/>
      <c r="Y283" s="79" t="n"/>
      <c r="Z283" s="79" t="n"/>
    </row>
  </sheetData>
  <autoFilter ref="$D$1:$X$283">
    <filterColumn colId="9" hiddenButton="0" showButton="1">
      <filters>
        <filter val="Connected"/>
      </filters>
    </filterColumn>
  </autoFilter>
  <dataValidations count="8">
    <dataValidation sqref="S5:S283" showDropDown="0" showInputMessage="0" showErrorMessage="1" allowBlank="1" type="list">
      <formula1>"Damaged,Not Damaged"</formula1>
    </dataValidation>
    <dataValidation sqref="W5:W283" showDropDown="0" showInputMessage="0" showErrorMessage="1" allowBlank="1" type="list">
      <formula1>"1,2,3,4,5,6,7,8,9,10"</formula1>
    </dataValidation>
    <dataValidation sqref="O5:O283" showDropDown="0" showInputMessage="0" showErrorMessage="1" allowBlank="1" type="list">
      <formula1>"Earlier than expected,On time,Slightly late,Very late,Don’t remember"</formula1>
    </dataValidation>
    <dataValidation sqref="Y5:Y283" showDropDown="0" showInputMessage="0" showErrorMessage="1" allowBlank="1" type="list">
      <formula1>"Negative,Neutral,Positive"</formula1>
    </dataValidation>
    <dataValidation sqref="N5:N283" showDropDown="0" showInputMessage="0" showErrorMessage="1" allowBlank="1" type="list">
      <formula1>"Yes,No"</formula1>
    </dataValidation>
    <dataValidation sqref="T5:T283" showDropDown="0" showInputMessage="0" showErrorMessage="1" allowBlank="1" type="list">
      <formula1>"Yes,No,Didn't check"</formula1>
    </dataValidation>
    <dataValidation sqref="M5:M283" showDropDown="0" showInputMessage="0" showErrorMessage="1" allowBlank="1" type="list">
      <formula1>"Connected ,Not Connected"</formula1>
    </dataValidation>
    <dataValidation sqref="R5:R283" showDropDown="0" showInputMessage="0" showErrorMessage="1" allowBlank="1" type="list">
      <formula1>"Very polite,Neutral,Rude,No Interaction"</formula1>
    </dataValidation>
  </dataValidations>
  <pageMargins left="0.75" right="0.75" top="1" bottom="1" header="0.5" footer="0.5"/>
</worksheet>
</file>

<file path=xl/worksheets/sheet4.xml><?xml version="1.0" encoding="utf-8"?>
<worksheet xmlns="http://schemas.openxmlformats.org/spreadsheetml/2006/main">
  <sheetPr>
    <tabColor rgb="FF00FF00"/>
    <outlinePr summaryBelow="0" summaryRight="0"/>
    <pageSetUpPr/>
  </sheetPr>
  <dimension ref="A1:Z270"/>
  <sheetViews>
    <sheetView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2.63" defaultRowHeight="15.75" customHeight="1"/>
  <cols>
    <col width="4.75" customWidth="1" style="85" min="1" max="1"/>
    <col width="15" customWidth="1" style="85" min="2" max="2"/>
    <col width="12.13" customWidth="1" style="85" min="3" max="3"/>
    <col width="8.380000000000001" customWidth="1" style="85" min="5" max="5"/>
    <col width="15" customWidth="1" style="85" min="12" max="12"/>
    <col width="15.5" customWidth="1" style="85" min="13" max="13"/>
    <col width="26" customWidth="1" style="85" min="14" max="15"/>
    <col width="32.25" customWidth="1" style="85" min="16" max="16"/>
    <col hidden="1" width="26" customWidth="1" style="85" min="17" max="17"/>
    <col width="26" customWidth="1" style="85" min="18" max="19"/>
    <col width="41.38" customWidth="1" style="85" min="20" max="20"/>
    <col width="31.5" customWidth="1" style="85" min="21" max="21"/>
    <col hidden="1" width="26" customWidth="1" style="85" min="22" max="22"/>
    <col width="13.13" customWidth="1" style="85" min="23" max="23"/>
    <col width="26" customWidth="1" style="85" min="24" max="25"/>
    <col hidden="1" width="26" customWidth="1" style="85" min="26" max="26"/>
  </cols>
  <sheetData>
    <row r="1">
      <c r="A1" s="42" t="n"/>
      <c r="B1" s="42" t="n"/>
      <c r="C1" s="42" t="n"/>
      <c r="D1" s="42" t="n"/>
      <c r="E1" s="42">
        <f>COUNTA(E5:E270)</f>
        <v/>
      </c>
      <c r="F1" s="42" t="n"/>
      <c r="G1" s="42" t="n"/>
      <c r="H1" s="42" t="n"/>
      <c r="I1" s="42" t="n"/>
      <c r="J1" s="42" t="n"/>
      <c r="K1" s="42" t="n"/>
      <c r="L1" s="42" t="n"/>
      <c r="M1" s="42">
        <f>COUNTIF(M5:M270,"Connected ")</f>
        <v/>
      </c>
      <c r="N1" s="42">
        <f>COUNTIF(N5:N270,"Yes")</f>
        <v/>
      </c>
      <c r="O1" s="42">
        <f>COUNTA(O5:O270, "I Refused")</f>
        <v/>
      </c>
      <c r="P1" s="42" t="n"/>
      <c r="Q1" s="42" t="n"/>
      <c r="R1" s="42">
        <f>COUNTA(R5:R34)</f>
        <v/>
      </c>
      <c r="S1" s="42">
        <f>COUNTA(S5:S34)</f>
        <v/>
      </c>
      <c r="T1" s="42">
        <f>COUNTA(T5:T34)</f>
        <v/>
      </c>
      <c r="U1" s="42">
        <f>COUNTA(U5:U34)</f>
        <v/>
      </c>
      <c r="V1" s="42">
        <f>COUNTA(V5:V34)</f>
        <v/>
      </c>
      <c r="W1" s="42">
        <f>COUNTA(W5:W34)</f>
        <v/>
      </c>
      <c r="X1" s="42">
        <f>COUNTA(X5:X34)</f>
        <v/>
      </c>
      <c r="Y1" s="42" t="n"/>
      <c r="Z1" s="42" t="n"/>
    </row>
    <row r="2">
      <c r="A2" s="42" t="n"/>
      <c r="B2" s="42" t="n"/>
      <c r="C2" s="42" t="n"/>
      <c r="D2" s="42" t="n"/>
      <c r="E2" s="42" t="n"/>
      <c r="F2" s="42" t="n"/>
      <c r="G2" s="42" t="n"/>
      <c r="H2" s="42" t="n"/>
      <c r="I2" s="42" t="n"/>
      <c r="J2" s="42" t="n"/>
      <c r="K2" s="42" t="n"/>
      <c r="L2" s="42" t="n"/>
      <c r="M2" s="42" t="n"/>
      <c r="N2" s="43" t="inlineStr">
        <is>
          <t>1 (compulsory)</t>
        </is>
      </c>
      <c r="O2" s="43" t="inlineStr">
        <is>
          <t>2 (compulsory)</t>
        </is>
      </c>
      <c r="P2" s="42" t="n"/>
      <c r="Q2" s="42" t="n"/>
      <c r="R2" s="43" t="inlineStr">
        <is>
          <t>3 (compulsory)</t>
        </is>
      </c>
      <c r="S2" s="43" t="inlineStr">
        <is>
          <t>4 (compulsory)</t>
        </is>
      </c>
      <c r="T2" s="44" t="inlineStr">
        <is>
          <t>5 (optional)</t>
        </is>
      </c>
      <c r="U2" s="45" t="n"/>
      <c r="V2" s="45" t="n"/>
      <c r="W2" s="43" t="inlineStr">
        <is>
          <t>6 (compulsory)</t>
        </is>
      </c>
      <c r="X2" s="46" t="inlineStr">
        <is>
          <t>Cartup Purchasing Experience</t>
        </is>
      </c>
      <c r="Y2" s="45" t="inlineStr">
        <is>
          <t>Sentiment</t>
        </is>
      </c>
      <c r="Z2" s="45" t="n"/>
    </row>
    <row r="3">
      <c r="A3" s="51" t="n"/>
      <c r="B3" s="49" t="n"/>
      <c r="C3" s="49" t="n"/>
      <c r="D3" s="49" t="n"/>
      <c r="E3" s="49" t="n"/>
      <c r="F3" s="49" t="n"/>
      <c r="G3" s="49" t="n"/>
      <c r="H3" s="49" t="n"/>
      <c r="I3" s="49" t="n"/>
      <c r="J3" s="49" t="n"/>
      <c r="K3" s="49" t="n"/>
      <c r="L3" s="49" t="n"/>
      <c r="M3" s="49" t="n"/>
      <c r="N3" s="49" t="inlineStr">
        <is>
          <t>Are you available for 2 to 3 mins to help us answer a few questions</t>
        </is>
      </c>
      <c r="O3" s="49" t="inlineStr">
        <is>
          <t>Reason for failed delivery</t>
        </is>
      </c>
      <c r="P3" s="49" t="n"/>
      <c r="Q3" s="49" t="n"/>
      <c r="R3" s="49" t="inlineStr">
        <is>
          <t>Notified before delivery?</t>
        </is>
      </c>
      <c r="S3" s="49" t="inlineStr">
        <is>
          <t>Contacted support?</t>
        </is>
      </c>
      <c r="T3" s="49" t="inlineStr">
        <is>
          <t>Rescheduling experience</t>
        </is>
      </c>
      <c r="U3" s="49" t="inlineStr">
        <is>
          <t>Open ended coments/experience</t>
        </is>
      </c>
      <c r="V3" s="49" t="n"/>
      <c r="W3" s="49" t="inlineStr">
        <is>
          <t>Overall delivery experience</t>
        </is>
      </c>
      <c r="X3" s="49" t="inlineStr">
        <is>
          <t>Overall Cartup Experience</t>
        </is>
      </c>
      <c r="Y3" s="49" t="inlineStr">
        <is>
          <t>Customer's Sentiment</t>
        </is>
      </c>
      <c r="Z3" s="49" t="n"/>
    </row>
    <row r="4">
      <c r="A4" s="52" t="inlineStr">
        <is>
          <t>Serial No.</t>
        </is>
      </c>
      <c r="B4" s="52" t="inlineStr">
        <is>
          <t>Order No.</t>
        </is>
      </c>
      <c r="C4" s="52" t="inlineStr">
        <is>
          <t>Agent Name</t>
        </is>
      </c>
      <c r="D4" s="52" t="inlineStr">
        <is>
          <t>Calling Date</t>
        </is>
      </c>
      <c r="E4" s="52" t="inlineStr">
        <is>
          <t>Buyer ID</t>
        </is>
      </c>
      <c r="F4" s="52" t="inlineStr">
        <is>
          <t>Name</t>
        </is>
      </c>
      <c r="G4" s="52" t="inlineStr">
        <is>
          <t>Phone</t>
        </is>
      </c>
      <c r="H4" s="52" t="inlineStr">
        <is>
          <t>District</t>
        </is>
      </c>
      <c r="I4" s="52" t="inlineStr">
        <is>
          <t>Category</t>
        </is>
      </c>
      <c r="J4" s="52" t="inlineStr">
        <is>
          <t>Sub-category</t>
        </is>
      </c>
      <c r="K4" s="52" t="inlineStr">
        <is>
          <t>TotalPrice</t>
        </is>
      </c>
      <c r="L4" s="52" t="inlineStr">
        <is>
          <t>Product Name</t>
        </is>
      </c>
      <c r="M4" s="52" t="inlineStr">
        <is>
          <t>Call Status</t>
        </is>
      </c>
      <c r="N4" s="55" t="inlineStr">
        <is>
          <t>(yes/no)</t>
        </is>
      </c>
      <c r="O4" s="55" t="inlineStr">
        <is>
          <t>(select from drop-down)</t>
        </is>
      </c>
      <c r="P4" s="55" t="inlineStr">
        <is>
          <t>Comments</t>
        </is>
      </c>
      <c r="Q4" s="55" t="inlineStr">
        <is>
          <t>Structured Comments Asef</t>
        </is>
      </c>
      <c r="R4" s="55" t="inlineStr">
        <is>
          <t>(select from drop-down)</t>
        </is>
      </c>
      <c r="S4" s="55" t="inlineStr">
        <is>
          <t>(select from drop-down)</t>
        </is>
      </c>
      <c r="T4" s="55" t="inlineStr">
        <is>
          <t>(select from drop-down)</t>
        </is>
      </c>
      <c r="U4" s="55" t="inlineStr">
        <is>
          <t>(open-ended)</t>
        </is>
      </c>
      <c r="V4" s="55" t="inlineStr">
        <is>
          <t>Structured Comments Asef</t>
        </is>
      </c>
      <c r="W4" s="55" t="inlineStr">
        <is>
          <t>(select from drop-down)</t>
        </is>
      </c>
      <c r="X4" s="55" t="inlineStr">
        <is>
          <t>(open-ended)</t>
        </is>
      </c>
      <c r="Y4" s="55" t="inlineStr">
        <is>
          <t>Other</t>
        </is>
      </c>
      <c r="Z4" s="55" t="inlineStr">
        <is>
          <t>Structured Comments Asef</t>
        </is>
      </c>
    </row>
    <row r="5">
      <c r="A5" s="77" t="n"/>
      <c r="B5" s="78" t="n">
        <v>25091630486441</v>
      </c>
      <c r="C5" s="63" t="inlineStr">
        <is>
          <t>Arefin</t>
        </is>
      </c>
      <c r="D5" s="65" t="n"/>
      <c r="E5" s="62" t="n">
        <v>655981</v>
      </c>
      <c r="F5" s="63" t="inlineStr">
        <is>
          <t xml:space="preserve">Bisnu Ray </t>
        </is>
      </c>
      <c r="G5" s="60" t="n">
        <v>1788088370</v>
      </c>
      <c r="H5" s="66" t="inlineStr">
        <is>
          <t>Thakurgaon</t>
        </is>
      </c>
      <c r="I5" s="63" t="inlineStr">
        <is>
          <t>Fashion</t>
        </is>
      </c>
      <c r="J5" s="63" t="inlineStr">
        <is>
          <t>Bags and Travel</t>
        </is>
      </c>
      <c r="K5" s="62" t="n">
        <v>90</v>
      </c>
      <c r="L5" s="63" t="inlineStr">
        <is>
          <t>Chocolate colour Man Wallet Money Bag</t>
        </is>
      </c>
      <c r="M5" s="79" t="inlineStr">
        <is>
          <t xml:space="preserve">Connected </t>
        </is>
      </c>
      <c r="N5" s="79" t="inlineStr">
        <is>
          <t>Yes</t>
        </is>
      </c>
      <c r="O5" s="79" t="inlineStr">
        <is>
          <t>I refused</t>
        </is>
      </c>
      <c r="P5" s="79" t="n"/>
      <c r="Q5" s="79" t="n"/>
      <c r="R5" s="79" t="inlineStr">
        <is>
          <t>Yes (in time)</t>
        </is>
      </c>
      <c r="S5" s="79" t="inlineStr">
        <is>
          <t>No</t>
        </is>
      </c>
      <c r="T5" s="79" t="inlineStr">
        <is>
          <t>Didn’t try</t>
        </is>
      </c>
      <c r="U5" s="79" t="n"/>
      <c r="V5" s="79" t="n"/>
      <c r="W5" s="79" t="n">
        <v>10</v>
      </c>
      <c r="X5" s="79" t="n"/>
      <c r="Y5" s="79" t="inlineStr">
        <is>
          <t>Positive</t>
        </is>
      </c>
      <c r="Z5" s="79" t="n"/>
    </row>
    <row r="6">
      <c r="A6" s="77" t="n"/>
      <c r="B6" s="78" t="n">
        <v>25091743997043</v>
      </c>
      <c r="C6" s="58" t="n"/>
      <c r="D6" s="65" t="n"/>
      <c r="E6" s="62" t="n">
        <v>694687</v>
      </c>
      <c r="F6" s="63" t="inlineStr">
        <is>
          <t xml:space="preserve">Mr./Ms. </t>
        </is>
      </c>
      <c r="G6" s="60" t="n">
        <v>1744613050</v>
      </c>
      <c r="H6" s="66" t="inlineStr">
        <is>
          <t>Thakurgaon</t>
        </is>
      </c>
      <c r="I6" s="63" t="inlineStr">
        <is>
          <t>Fashion</t>
        </is>
      </c>
      <c r="J6" s="63" t="inlineStr">
        <is>
          <t>Fashion</t>
        </is>
      </c>
      <c r="K6" s="62" t="n">
        <v>1199</v>
      </c>
      <c r="L6" s="63" t="inlineStr">
        <is>
          <t>Redtape/ Red Tape Classic Lifestyle Sneakers White Green RDT 07</t>
        </is>
      </c>
      <c r="M6" s="79" t="inlineStr">
        <is>
          <t>Not Connected</t>
        </is>
      </c>
      <c r="N6" s="79" t="n"/>
      <c r="O6" s="79" t="n"/>
      <c r="P6" s="79" t="n"/>
      <c r="Q6" s="79" t="n"/>
      <c r="R6" s="79" t="n"/>
      <c r="S6" s="79" t="n"/>
      <c r="T6" s="79" t="n"/>
      <c r="U6" s="79" t="n"/>
      <c r="V6" s="79" t="n"/>
      <c r="W6" s="79" t="n"/>
      <c r="X6" s="79" t="n"/>
      <c r="Y6" s="79" t="n"/>
      <c r="Z6" s="79" t="n"/>
    </row>
    <row r="7">
      <c r="A7" s="77" t="n"/>
      <c r="B7" s="78" t="n">
        <v>25091763608802</v>
      </c>
      <c r="C7" s="58" t="n"/>
      <c r="D7" s="65" t="n"/>
      <c r="E7" s="62" t="n">
        <v>324391</v>
      </c>
      <c r="F7" s="63" t="inlineStr">
        <is>
          <t xml:space="preserve">Md:Firoz Ali </t>
        </is>
      </c>
      <c r="G7" s="60" t="n">
        <v>1788008351</v>
      </c>
      <c r="H7" s="61" t="inlineStr">
        <is>
          <t>Thakurgaon</t>
        </is>
      </c>
      <c r="I7" s="63" t="inlineStr">
        <is>
          <t>Lifestyle</t>
        </is>
      </c>
      <c r="J7" s="63" t="inlineStr">
        <is>
          <t>Tools, DIY  Outdoor</t>
        </is>
      </c>
      <c r="K7" s="62" t="n">
        <v>98</v>
      </c>
      <c r="L7" s="63" t="inlineStr">
        <is>
          <t>NIICO Heavy Duty Fan Regulator With Switch Wall Switch Model-054( 1 Year Warranty)</t>
        </is>
      </c>
      <c r="M7" s="79" t="inlineStr">
        <is>
          <t xml:space="preserve">Connected </t>
        </is>
      </c>
      <c r="N7" s="79" t="inlineStr">
        <is>
          <t>No</t>
        </is>
      </c>
      <c r="O7" s="79" t="n"/>
      <c r="P7" s="79" t="n"/>
      <c r="Q7" s="79" t="n"/>
      <c r="R7" s="79" t="n"/>
      <c r="S7" s="79" t="n"/>
      <c r="T7" s="79" t="n"/>
      <c r="U7" s="79" t="n"/>
      <c r="V7" s="79" t="n"/>
      <c r="W7" s="79" t="n"/>
      <c r="X7" s="79" t="n"/>
      <c r="Y7" s="79" t="n"/>
      <c r="Z7" s="79" t="n"/>
    </row>
    <row r="8">
      <c r="A8" s="77" t="n"/>
      <c r="B8" s="78" t="n">
        <v>25091765263375</v>
      </c>
      <c r="C8" s="58" t="n"/>
      <c r="D8" s="65" t="n"/>
      <c r="E8" s="62" t="n">
        <v>324391</v>
      </c>
      <c r="F8" s="63" t="inlineStr">
        <is>
          <t xml:space="preserve">Md:Firoz Ali </t>
        </is>
      </c>
      <c r="G8" s="60" t="n">
        <v>1788008351</v>
      </c>
      <c r="H8" s="66" t="inlineStr">
        <is>
          <t>Thakurgaon</t>
        </is>
      </c>
      <c r="I8" s="63" t="inlineStr">
        <is>
          <t>FMCG</t>
        </is>
      </c>
      <c r="J8" s="63" t="inlineStr">
        <is>
          <t>Health  Beauty</t>
        </is>
      </c>
      <c r="K8" s="62" t="n">
        <v>295</v>
      </c>
      <c r="L8" s="63" t="inlineStr">
        <is>
          <t>T9 Vintage USB Rechargeable Hair Trimmer Metal Body with Type-C Fast Charging Port</t>
        </is>
      </c>
      <c r="M8" s="79" t="inlineStr">
        <is>
          <t xml:space="preserve">Connected </t>
        </is>
      </c>
      <c r="N8" s="79" t="inlineStr">
        <is>
          <t>No</t>
        </is>
      </c>
      <c r="O8" s="79" t="n"/>
      <c r="P8" s="79" t="n"/>
      <c r="Q8" s="79" t="n"/>
      <c r="R8" s="79" t="n"/>
      <c r="S8" s="79" t="n"/>
      <c r="T8" s="79" t="n"/>
      <c r="U8" s="79" t="n"/>
      <c r="V8" s="79" t="n"/>
      <c r="W8" s="79" t="n"/>
      <c r="X8" s="79" t="n"/>
      <c r="Y8" s="79" t="n"/>
      <c r="Z8" s="79" t="n"/>
    </row>
    <row r="9">
      <c r="A9" s="77" t="n"/>
      <c r="B9" s="78" t="n">
        <v>25091622378670</v>
      </c>
      <c r="C9" s="63" t="inlineStr">
        <is>
          <t>Arefin</t>
        </is>
      </c>
      <c r="D9" s="65" t="n"/>
      <c r="E9" s="62" t="n">
        <v>273136</v>
      </c>
      <c r="F9" s="63" t="inlineStr">
        <is>
          <t xml:space="preserve">Apu Sarker </t>
        </is>
      </c>
      <c r="G9" s="60" t="n">
        <v>1831641078</v>
      </c>
      <c r="H9" s="66" t="inlineStr">
        <is>
          <t>Tangail</t>
        </is>
      </c>
      <c r="I9" s="63" t="inlineStr">
        <is>
          <t>Lifestyle</t>
        </is>
      </c>
      <c r="J9" s="63" t="inlineStr">
        <is>
          <t>Bedding  Bath</t>
        </is>
      </c>
      <c r="K9" s="62" t="n">
        <v>685</v>
      </c>
      <c r="L9" s="63" t="inlineStr">
        <is>
          <t>Product Type: Bed Sheet With Pillow Covers Color: Multicolour Main Material: Panel Cotton Bed Sheet Size: 7.5 X8.5 Feet Pillow Cover Size: 20X 36 Inch Color Uthbe Na (Guaranteed) Double Size Bed Sheet Bed Sheet With Matching 2 Pillow Covers Product Color</t>
        </is>
      </c>
      <c r="M9" s="79" t="inlineStr">
        <is>
          <t>Not Connected</t>
        </is>
      </c>
      <c r="N9" s="79" t="n"/>
      <c r="O9" s="79" t="n"/>
      <c r="P9" s="79" t="n"/>
      <c r="Q9" s="79" t="n"/>
      <c r="R9" s="79" t="n"/>
      <c r="S9" s="79" t="n"/>
      <c r="T9" s="79" t="n"/>
      <c r="U9" s="79" t="n"/>
      <c r="V9" s="79" t="n"/>
      <c r="W9" s="79" t="n"/>
      <c r="X9" s="79" t="n"/>
      <c r="Y9" s="79" t="n"/>
      <c r="Z9" s="79" t="n"/>
    </row>
    <row r="10">
      <c r="A10" s="77" t="n"/>
      <c r="B10" s="78" t="n">
        <v>25091626105889</v>
      </c>
      <c r="C10" s="63" t="inlineStr">
        <is>
          <t>Arefin</t>
        </is>
      </c>
      <c r="D10" s="65" t="n"/>
      <c r="E10" s="62" t="n">
        <v>416097</v>
      </c>
      <c r="F10" s="63" t="inlineStr">
        <is>
          <t xml:space="preserve">Amanullah labib </t>
        </is>
      </c>
      <c r="G10" s="60" t="n">
        <v>1947820808</v>
      </c>
      <c r="H10" s="66" t="inlineStr">
        <is>
          <t>Tangail</t>
        </is>
      </c>
      <c r="I10" s="63" t="inlineStr">
        <is>
          <t>Electronics</t>
        </is>
      </c>
      <c r="J10" s="63" t="inlineStr">
        <is>
          <t>TV, Audio / Video, Gaming  Wearables</t>
        </is>
      </c>
      <c r="K10" s="62" t="n">
        <v>1596</v>
      </c>
      <c r="L10" s="63" t="inlineStr">
        <is>
          <t>AirPods Pro 2nd Generation MADE IN DUBAI Bluetooth Earbuds Ipx4 Waterproof In-Ear Earphone</t>
        </is>
      </c>
      <c r="M10" s="79" t="inlineStr">
        <is>
          <t>Not Connected</t>
        </is>
      </c>
      <c r="N10" s="79" t="n"/>
      <c r="O10" s="79" t="n"/>
      <c r="P10" s="79" t="n"/>
      <c r="Q10" s="79" t="n"/>
      <c r="R10" s="79" t="n"/>
      <c r="S10" s="79" t="n"/>
      <c r="T10" s="79" t="n"/>
      <c r="U10" s="79" t="n"/>
      <c r="V10" s="79" t="n"/>
      <c r="W10" s="79" t="n"/>
      <c r="X10" s="79" t="n"/>
      <c r="Y10" s="79" t="n"/>
      <c r="Z10" s="79" t="n"/>
    </row>
    <row r="11">
      <c r="A11" s="77" t="n"/>
      <c r="B11" s="78" t="n">
        <v>25091652123057</v>
      </c>
      <c r="C11" s="58" t="n"/>
      <c r="D11" s="65" t="n"/>
      <c r="E11" s="62" t="n">
        <v>691197</v>
      </c>
      <c r="F11" s="63" t="inlineStr">
        <is>
          <t xml:space="preserve">Mr./Ms. </t>
        </is>
      </c>
      <c r="G11" s="60" t="n">
        <v>1613323250</v>
      </c>
      <c r="H11" s="66" t="inlineStr">
        <is>
          <t>Tangail</t>
        </is>
      </c>
      <c r="I11" s="63" t="inlineStr">
        <is>
          <t>FMCG</t>
        </is>
      </c>
      <c r="J11" s="63" t="inlineStr">
        <is>
          <t>Health  Beauty</t>
        </is>
      </c>
      <c r="K11" s="62" t="n">
        <v>1950</v>
      </c>
      <c r="L11" s="63" t="inlineStr">
        <is>
          <t>পলি হ্যান্ড গ্লাভস (100 পিস)-50 জোড়া</t>
        </is>
      </c>
      <c r="M11" s="79" t="inlineStr">
        <is>
          <t>Not Connected</t>
        </is>
      </c>
      <c r="N11" s="79" t="n"/>
      <c r="O11" s="79" t="n"/>
      <c r="P11" s="79" t="n"/>
      <c r="Q11" s="79" t="n"/>
      <c r="R11" s="79" t="n"/>
      <c r="S11" s="79" t="n"/>
      <c r="T11" s="79" t="n"/>
      <c r="U11" s="79" t="n"/>
      <c r="V11" s="79" t="n"/>
      <c r="W11" s="79" t="n"/>
      <c r="X11" s="79" t="n"/>
      <c r="Y11" s="79" t="n"/>
      <c r="Z11" s="79" t="n"/>
    </row>
    <row r="12">
      <c r="A12" s="77" t="n"/>
      <c r="B12" s="78" t="n">
        <v>25091668882249</v>
      </c>
      <c r="C12" s="58" t="n"/>
      <c r="D12" s="65" t="n"/>
      <c r="E12" s="62" t="n">
        <v>693812</v>
      </c>
      <c r="F12" s="63" t="inlineStr">
        <is>
          <t xml:space="preserve">Md Kibria </t>
        </is>
      </c>
      <c r="G12" s="60" t="n">
        <v>1641376058</v>
      </c>
      <c r="H12" s="66" t="inlineStr">
        <is>
          <t>Tangail</t>
        </is>
      </c>
      <c r="I12" s="63" t="inlineStr">
        <is>
          <t>Electronics</t>
        </is>
      </c>
      <c r="J12" s="63" t="inlineStr">
        <is>
          <t>Mobiles  Tablets</t>
        </is>
      </c>
      <c r="K12" s="62" t="n">
        <v>173</v>
      </c>
      <c r="L12" s="63" t="inlineStr">
        <is>
          <t>Honor X9A Luxury Silicon Back Cover</t>
        </is>
      </c>
      <c r="M12" s="79" t="inlineStr">
        <is>
          <t xml:space="preserve">Connected </t>
        </is>
      </c>
      <c r="N12" s="79" t="inlineStr">
        <is>
          <t>Yes</t>
        </is>
      </c>
      <c r="O12" s="79" t="inlineStr">
        <is>
          <t>No one was home</t>
        </is>
      </c>
      <c r="P12" s="79" t="n"/>
      <c r="Q12" s="79" t="n"/>
      <c r="R12" s="79" t="inlineStr">
        <is>
          <t>Yes (in time)</t>
        </is>
      </c>
      <c r="S12" s="79" t="inlineStr">
        <is>
          <t>No</t>
        </is>
      </c>
      <c r="T12" s="79" t="inlineStr">
        <is>
          <t>Didn’t try</t>
        </is>
      </c>
      <c r="U12" s="79" t="n"/>
      <c r="V12" s="79" t="n"/>
      <c r="W12" s="79" t="n">
        <v>10</v>
      </c>
      <c r="X12" s="79" t="n"/>
      <c r="Y12" s="79" t="inlineStr">
        <is>
          <t>Positive</t>
        </is>
      </c>
      <c r="Z12" s="79" t="n"/>
    </row>
    <row r="13">
      <c r="A13" s="77" t="n"/>
      <c r="B13" s="78" t="n">
        <v>25091638735931</v>
      </c>
      <c r="C13" s="63" t="inlineStr">
        <is>
          <t>Arefin</t>
        </is>
      </c>
      <c r="D13" s="65" t="n"/>
      <c r="E13" s="62" t="n">
        <v>643421</v>
      </c>
      <c r="F13" s="63" t="inlineStr">
        <is>
          <t xml:space="preserve">Mr./Ms. </t>
        </is>
      </c>
      <c r="G13" s="60" t="n">
        <v>1312064966</v>
      </c>
      <c r="H13" s="61" t="inlineStr">
        <is>
          <t>Sylhet</t>
        </is>
      </c>
      <c r="I13" s="63" t="inlineStr">
        <is>
          <t>Electronics</t>
        </is>
      </c>
      <c r="J13" s="63" t="inlineStr">
        <is>
          <t>TV, Audio / Video, Gaming  Wearables</t>
        </is>
      </c>
      <c r="K13" s="62" t="n">
        <v>2320</v>
      </c>
      <c r="L13" s="63" t="inlineStr">
        <is>
          <t>MS-881A Jbl Premium Quality Wireless Bluetooth Headphones</t>
        </is>
      </c>
      <c r="M13" s="79" t="inlineStr">
        <is>
          <t xml:space="preserve">Connected </t>
        </is>
      </c>
      <c r="N13" s="79" t="inlineStr">
        <is>
          <t>No</t>
        </is>
      </c>
      <c r="O13" s="79" t="n"/>
      <c r="P13" s="79" t="n"/>
      <c r="Q13" s="79" t="n"/>
      <c r="R13" s="79" t="n"/>
      <c r="S13" s="79" t="n"/>
      <c r="T13" s="79" t="n"/>
      <c r="U13" s="79" t="n"/>
      <c r="V13" s="79" t="n"/>
      <c r="W13" s="79" t="n"/>
      <c r="X13" s="79" t="n"/>
      <c r="Y13" s="79" t="n"/>
      <c r="Z13" s="79" t="n"/>
    </row>
    <row r="14">
      <c r="A14" s="77" t="n"/>
      <c r="B14" s="78" t="n">
        <v>25091640970856</v>
      </c>
      <c r="C14" s="63" t="inlineStr">
        <is>
          <t>Arefin</t>
        </is>
      </c>
      <c r="D14" s="65" t="n"/>
      <c r="E14" s="62" t="n">
        <v>685048</v>
      </c>
      <c r="F14" s="63" t="inlineStr">
        <is>
          <t xml:space="preserve">Rabbi Miya </t>
        </is>
      </c>
      <c r="G14" s="60" t="n">
        <v>1768759389</v>
      </c>
      <c r="H14" s="61" t="inlineStr">
        <is>
          <t>Sylhet</t>
        </is>
      </c>
      <c r="I14" s="63" t="inlineStr">
        <is>
          <t>Fashion</t>
        </is>
      </c>
      <c r="J14" s="63" t="inlineStr">
        <is>
          <t>Watches Sunglasses Jewellery</t>
        </is>
      </c>
      <c r="K14" s="62" t="n">
        <v>900</v>
      </c>
      <c r="L14" s="63" t="inlineStr">
        <is>
          <t>A1 Single SIM Supported Wireless Bluetooth Smartwatch - Black</t>
        </is>
      </c>
      <c r="M14" s="79" t="inlineStr">
        <is>
          <t>Not Connected</t>
        </is>
      </c>
      <c r="N14" s="79" t="n"/>
      <c r="O14" s="79" t="n"/>
      <c r="P14" s="79" t="n"/>
      <c r="Q14" s="79" t="n"/>
      <c r="R14" s="79" t="n"/>
      <c r="S14" s="79" t="n"/>
      <c r="T14" s="79" t="n"/>
      <c r="U14" s="79" t="n"/>
      <c r="V14" s="79" t="n"/>
      <c r="W14" s="79" t="n"/>
      <c r="X14" s="79" t="n"/>
      <c r="Y14" s="79" t="n"/>
      <c r="Z14" s="79" t="n"/>
    </row>
    <row r="15">
      <c r="A15" s="77" t="n"/>
      <c r="B15" s="78" t="n">
        <v>25091654619452</v>
      </c>
      <c r="C15" s="58" t="n"/>
      <c r="D15" s="65" t="n"/>
      <c r="E15" s="62" t="n">
        <v>634879</v>
      </c>
      <c r="F15" s="63" t="inlineStr">
        <is>
          <t xml:space="preserve">Mr./Ms. </t>
        </is>
      </c>
      <c r="G15" s="60" t="n">
        <v>1893242739</v>
      </c>
      <c r="H15" s="61" t="inlineStr">
        <is>
          <t>Sylhet</t>
        </is>
      </c>
      <c r="I15" s="63" t="inlineStr">
        <is>
          <t>FMCG</t>
        </is>
      </c>
      <c r="J15" s="63" t="inlineStr">
        <is>
          <t>Health  Beauty</t>
        </is>
      </c>
      <c r="K15" s="62" t="n">
        <v>65</v>
      </c>
      <c r="L15" s="63" t="inlineStr">
        <is>
          <t>Digital Thermometer</t>
        </is>
      </c>
      <c r="M15" s="79" t="inlineStr">
        <is>
          <t xml:space="preserve">Connected </t>
        </is>
      </c>
      <c r="N15" s="79" t="inlineStr">
        <is>
          <t>Yes</t>
        </is>
      </c>
      <c r="O15" s="79" t="inlineStr">
        <is>
          <t>Wrong Item</t>
        </is>
      </c>
      <c r="P15" s="79" t="n"/>
      <c r="Q15" s="79" t="n"/>
      <c r="R15" s="79" t="inlineStr">
        <is>
          <t>Yes (last moment)</t>
        </is>
      </c>
      <c r="S15" s="79" t="inlineStr">
        <is>
          <t>No</t>
        </is>
      </c>
      <c r="T15" s="79" t="inlineStr">
        <is>
          <t>Didn’t try</t>
        </is>
      </c>
      <c r="U15" s="79" t="n"/>
      <c r="V15" s="79" t="n"/>
      <c r="W15" s="79" t="n">
        <v>10</v>
      </c>
      <c r="X15" s="79" t="inlineStr">
        <is>
          <t>Overall good.</t>
        </is>
      </c>
      <c r="Y15" s="79" t="inlineStr">
        <is>
          <t>Positive</t>
        </is>
      </c>
      <c r="Z15" s="79" t="n"/>
    </row>
    <row r="16">
      <c r="A16" s="77" t="n"/>
      <c r="B16" s="78" t="n">
        <v>25091663815244</v>
      </c>
      <c r="C16" s="58" t="n"/>
      <c r="D16" s="65" t="n"/>
      <c r="E16" s="62" t="n">
        <v>692451</v>
      </c>
      <c r="F16" s="63" t="inlineStr">
        <is>
          <t xml:space="preserve">Fahim Ahmed </t>
        </is>
      </c>
      <c r="G16" s="60" t="n">
        <v>1617567302</v>
      </c>
      <c r="H16" s="61" t="inlineStr">
        <is>
          <t>Sylhet</t>
        </is>
      </c>
      <c r="I16" s="63" t="inlineStr">
        <is>
          <t>Electronics</t>
        </is>
      </c>
      <c r="J16" s="63" t="inlineStr">
        <is>
          <t>Cameras</t>
        </is>
      </c>
      <c r="K16" s="62" t="n">
        <v>193</v>
      </c>
      <c r="L16" s="63" t="inlineStr">
        <is>
          <t>8X Optical Zoom Telescope Camera Lens Clip Mobile Phone Telescope</t>
        </is>
      </c>
      <c r="M16" s="79" t="inlineStr">
        <is>
          <t>Not Connected</t>
        </is>
      </c>
      <c r="N16" s="79" t="n"/>
      <c r="O16" s="79" t="n"/>
      <c r="P16" s="79" t="n"/>
      <c r="Q16" s="79" t="n"/>
      <c r="R16" s="79" t="n"/>
      <c r="S16" s="79" t="n"/>
      <c r="T16" s="79" t="n"/>
      <c r="U16" s="79" t="n"/>
      <c r="V16" s="79" t="n"/>
      <c r="W16" s="79" t="n"/>
      <c r="X16" s="79" t="n"/>
      <c r="Y16" s="79" t="n"/>
      <c r="Z16" s="79" t="n"/>
    </row>
    <row r="17">
      <c r="A17" s="77" t="n"/>
      <c r="B17" s="78" t="n">
        <v>25091624527324</v>
      </c>
      <c r="C17" s="63" t="inlineStr">
        <is>
          <t>Arefin</t>
        </is>
      </c>
      <c r="D17" s="65" t="n"/>
      <c r="E17" s="62" t="n">
        <v>638517</v>
      </c>
      <c r="F17" s="63" t="inlineStr">
        <is>
          <t xml:space="preserve">S Alom </t>
        </is>
      </c>
      <c r="G17" s="60" t="n">
        <v>1716009469</v>
      </c>
      <c r="H17" s="66" t="inlineStr">
        <is>
          <t>Sunamganj</t>
        </is>
      </c>
      <c r="I17" s="63" t="inlineStr">
        <is>
          <t>Lifestyle</t>
        </is>
      </c>
      <c r="J17" s="63" t="inlineStr">
        <is>
          <t>Furniture  Decor</t>
        </is>
      </c>
      <c r="K17" s="62" t="n">
        <v>75</v>
      </c>
      <c r="L17" s="63" t="inlineStr">
        <is>
          <t>rgb colour changing led light 7 color 9 watt RGB light Bulb 1 ps</t>
        </is>
      </c>
      <c r="M17" s="79" t="inlineStr">
        <is>
          <t>Not Connected</t>
        </is>
      </c>
      <c r="N17" s="79" t="n"/>
      <c r="O17" s="79" t="n"/>
      <c r="P17" s="79" t="n"/>
      <c r="Q17" s="79" t="n"/>
      <c r="R17" s="79" t="n"/>
      <c r="S17" s="79" t="n"/>
      <c r="T17" s="79" t="n"/>
      <c r="U17" s="79" t="n"/>
      <c r="V17" s="79" t="n"/>
      <c r="W17" s="79" t="n"/>
      <c r="X17" s="79" t="n"/>
      <c r="Y17" s="79" t="n"/>
      <c r="Z17" s="79" t="n"/>
    </row>
    <row r="18">
      <c r="A18" s="77" t="n"/>
      <c r="B18" s="78" t="n">
        <v>25091627583995</v>
      </c>
      <c r="C18" s="63" t="inlineStr">
        <is>
          <t>Arefin</t>
        </is>
      </c>
      <c r="D18" s="65" t="n"/>
      <c r="E18" s="62" t="n">
        <v>638517</v>
      </c>
      <c r="F18" s="63" t="inlineStr">
        <is>
          <t xml:space="preserve">S Alom </t>
        </is>
      </c>
      <c r="G18" s="60" t="n">
        <v>1716009469</v>
      </c>
      <c r="H18" s="66" t="inlineStr">
        <is>
          <t>Sunamganj</t>
        </is>
      </c>
      <c r="I18" s="63" t="inlineStr">
        <is>
          <t>FMCG</t>
        </is>
      </c>
      <c r="J18" s="63" t="inlineStr">
        <is>
          <t>Health  Beauty</t>
        </is>
      </c>
      <c r="K18" s="62" t="n">
        <v>499</v>
      </c>
      <c r="L18" s="63" t="inlineStr">
        <is>
          <t>NIVEA MEN Shower Gel Energy 250ml</t>
        </is>
      </c>
      <c r="M18" s="79" t="inlineStr">
        <is>
          <t>Not Connected</t>
        </is>
      </c>
      <c r="N18" s="79" t="n"/>
      <c r="O18" s="79" t="n"/>
      <c r="P18" s="79" t="n"/>
      <c r="Q18" s="79" t="n"/>
      <c r="R18" s="79" t="n"/>
      <c r="S18" s="79" t="n"/>
      <c r="T18" s="79" t="n"/>
      <c r="U18" s="79" t="n"/>
      <c r="V18" s="79" t="n"/>
      <c r="W18" s="79" t="n"/>
      <c r="X18" s="79" t="n"/>
      <c r="Y18" s="79" t="n"/>
      <c r="Z18" s="79" t="n"/>
    </row>
    <row r="19">
      <c r="A19" s="77" t="n"/>
      <c r="B19" s="78" t="n">
        <v>25091677720312</v>
      </c>
      <c r="C19" s="58" t="n"/>
      <c r="D19" s="65" t="n"/>
      <c r="E19" s="62" t="n">
        <v>638517</v>
      </c>
      <c r="F19" s="63" t="inlineStr">
        <is>
          <t xml:space="preserve">S Alom </t>
        </is>
      </c>
      <c r="G19" s="60" t="n">
        <v>1716009469</v>
      </c>
      <c r="H19" s="66" t="inlineStr">
        <is>
          <t>Sunamganj</t>
        </is>
      </c>
      <c r="I19" s="63" t="inlineStr">
        <is>
          <t>FMCG</t>
        </is>
      </c>
      <c r="J19" s="63" t="inlineStr">
        <is>
          <t>Health  Beauty</t>
        </is>
      </c>
      <c r="K19" s="62" t="n">
        <v>378</v>
      </c>
      <c r="L19" s="63" t="inlineStr">
        <is>
          <t>Axe Signature Champion Long Lasting No Gas Body Deodorant For Men - 122ml</t>
        </is>
      </c>
      <c r="M19" s="79" t="inlineStr">
        <is>
          <t>Not Connected</t>
        </is>
      </c>
      <c r="N19" s="79" t="n"/>
      <c r="O19" s="79" t="n"/>
      <c r="P19" s="79" t="n"/>
      <c r="Q19" s="79" t="n"/>
      <c r="R19" s="79" t="n"/>
      <c r="S19" s="79" t="n"/>
      <c r="T19" s="79" t="n"/>
      <c r="U19" s="79" t="n"/>
      <c r="V19" s="79" t="n"/>
      <c r="W19" s="79" t="n"/>
      <c r="X19" s="79" t="n"/>
      <c r="Y19" s="79" t="n"/>
      <c r="Z19" s="79" t="n"/>
    </row>
    <row r="20">
      <c r="A20" s="77" t="n"/>
      <c r="B20" s="78" t="n">
        <v>25091682311827</v>
      </c>
      <c r="C20" s="58" t="n"/>
      <c r="D20" s="65" t="n"/>
      <c r="E20" s="62" t="n">
        <v>665316</v>
      </c>
      <c r="F20" s="63" t="inlineStr">
        <is>
          <t>suheb rana suheb rana</t>
        </is>
      </c>
      <c r="G20" s="60" t="n">
        <v>1754292714</v>
      </c>
      <c r="H20" s="66" t="inlineStr">
        <is>
          <t>Sunamganj</t>
        </is>
      </c>
      <c r="I20" s="63" t="inlineStr">
        <is>
          <t>Lifestyle</t>
        </is>
      </c>
      <c r="J20" s="63" t="inlineStr">
        <is>
          <t>Tools, DIY  Outdoor</t>
        </is>
      </c>
      <c r="K20" s="62" t="n">
        <v>125</v>
      </c>
      <c r="L20" s="63" t="inlineStr">
        <is>
          <t>Battery Charge Level Indicator 12V 24V 36V 48V 60V 72V Lithium Battery Capacity Meter Tester With LED Voltmeter for Cars Motorcycles Etc</t>
        </is>
      </c>
      <c r="M20" s="79" t="inlineStr">
        <is>
          <t xml:space="preserve">Connected </t>
        </is>
      </c>
      <c r="N20" s="79" t="inlineStr">
        <is>
          <t>Yes</t>
        </is>
      </c>
      <c r="O20" s="79" t="inlineStr">
        <is>
          <t>Other</t>
        </is>
      </c>
      <c r="P20" s="79" t="n"/>
      <c r="Q20" s="79" t="n"/>
      <c r="R20" s="79" t="inlineStr">
        <is>
          <t>Yes (in time)</t>
        </is>
      </c>
      <c r="S20" s="79" t="inlineStr">
        <is>
          <t>No</t>
        </is>
      </c>
      <c r="T20" s="79" t="inlineStr">
        <is>
          <t>Didn’t try</t>
        </is>
      </c>
      <c r="U20" s="79" t="n"/>
      <c r="V20" s="79" t="n"/>
      <c r="W20" s="79" t="n">
        <v>10</v>
      </c>
      <c r="X20" s="79" t="n"/>
      <c r="Y20" s="79" t="inlineStr">
        <is>
          <t>Positive</t>
        </is>
      </c>
      <c r="Z20" s="79" t="n"/>
    </row>
    <row r="21">
      <c r="A21" s="77" t="n"/>
      <c r="B21" s="78" t="n">
        <v>25091621851610</v>
      </c>
      <c r="C21" s="63" t="inlineStr">
        <is>
          <t>Arefin</t>
        </is>
      </c>
      <c r="D21" s="65" t="n"/>
      <c r="E21" s="62" t="n">
        <v>693400</v>
      </c>
      <c r="F21" s="63" t="inlineStr">
        <is>
          <t xml:space="preserve">Tauhid Hridoy </t>
        </is>
      </c>
      <c r="G21" s="60" t="n">
        <v>1345565198</v>
      </c>
      <c r="H21" s="66" t="inlineStr">
        <is>
          <t>Sirajganj</t>
        </is>
      </c>
      <c r="I21" s="63" t="inlineStr">
        <is>
          <t>Fashion</t>
        </is>
      </c>
      <c r="J21" s="63" t="inlineStr">
        <is>
          <t>Fashion</t>
        </is>
      </c>
      <c r="K21" s="62" t="n">
        <v>278</v>
      </c>
      <c r="L21" s="63" t="inlineStr">
        <is>
          <t>New Stylish &amp; Smart Looking Trendy Cotton Oxford Long Sleeve Casual Shirt For Men By Salma Export</t>
        </is>
      </c>
      <c r="M21" s="79" t="inlineStr">
        <is>
          <t xml:space="preserve">Connected </t>
        </is>
      </c>
      <c r="N21" s="79" t="inlineStr">
        <is>
          <t>Yes</t>
        </is>
      </c>
      <c r="O21" s="79" t="inlineStr">
        <is>
          <t>Wrong Item</t>
        </is>
      </c>
      <c r="P21" s="79" t="n"/>
      <c r="Q21" s="79" t="n"/>
      <c r="R21" s="79" t="inlineStr">
        <is>
          <t>Yes (in time)</t>
        </is>
      </c>
      <c r="S21" s="79" t="inlineStr">
        <is>
          <t>No</t>
        </is>
      </c>
      <c r="T21" s="79" t="inlineStr">
        <is>
          <t>Didn’t try</t>
        </is>
      </c>
      <c r="U21" s="79" t="n"/>
      <c r="V21" s="79" t="n"/>
      <c r="W21" s="79" t="n">
        <v>5</v>
      </c>
      <c r="X21" s="79" t="n"/>
      <c r="Y21" s="79" t="inlineStr">
        <is>
          <t>Neutral</t>
        </is>
      </c>
      <c r="Z21" s="79" t="n"/>
    </row>
    <row r="22">
      <c r="A22" s="77" t="n"/>
      <c r="B22" s="78" t="n">
        <v>25091714705267</v>
      </c>
      <c r="C22" s="58" t="n"/>
      <c r="D22" s="65" t="n"/>
      <c r="E22" s="62" t="n">
        <v>696159</v>
      </c>
      <c r="F22" s="63" t="inlineStr">
        <is>
          <t xml:space="preserve">MD Hasan Ali </t>
        </is>
      </c>
      <c r="G22" s="60" t="n">
        <v>1893969231</v>
      </c>
      <c r="H22" s="61" t="inlineStr">
        <is>
          <t>Sirajganj</t>
        </is>
      </c>
      <c r="I22" s="63" t="inlineStr">
        <is>
          <t>Lifestyle</t>
        </is>
      </c>
      <c r="J22" s="63" t="inlineStr">
        <is>
          <t>Motors</t>
        </is>
      </c>
      <c r="K22" s="62" t="n">
        <v>766</v>
      </c>
      <c r="L22" s="63" t="inlineStr">
        <is>
          <t>12 Volt High Pressure Full Set Water Pump</t>
        </is>
      </c>
      <c r="M22" s="79" t="inlineStr">
        <is>
          <t>Not Connected</t>
        </is>
      </c>
      <c r="N22" s="79" t="n"/>
      <c r="O22" s="79" t="n"/>
      <c r="P22" s="79" t="n"/>
      <c r="Q22" s="79" t="n"/>
      <c r="R22" s="79" t="n"/>
      <c r="S22" s="79" t="n"/>
      <c r="T22" s="79" t="n"/>
      <c r="U22" s="79" t="n"/>
      <c r="V22" s="79" t="n"/>
      <c r="W22" s="79" t="n"/>
      <c r="X22" s="79" t="n"/>
      <c r="Y22" s="79" t="n"/>
      <c r="Z22" s="79" t="n"/>
    </row>
    <row r="23">
      <c r="A23" s="77" t="n"/>
      <c r="B23" s="78" t="n">
        <v>25091788059527</v>
      </c>
      <c r="C23" s="58" t="n"/>
      <c r="D23" s="65" t="n"/>
      <c r="E23" s="62" t="n">
        <v>695143</v>
      </c>
      <c r="F23" s="63" t="inlineStr">
        <is>
          <t>Samiul islam shishir</t>
        </is>
      </c>
      <c r="G23" s="60" t="n">
        <v>1755354329</v>
      </c>
      <c r="H23" s="66" t="inlineStr">
        <is>
          <t>Sirajganj</t>
        </is>
      </c>
      <c r="I23" s="63" t="inlineStr">
        <is>
          <t>Electronics</t>
        </is>
      </c>
      <c r="J23" s="63" t="inlineStr">
        <is>
          <t>TV, Audio / Video, Gaming  Wearables</t>
        </is>
      </c>
      <c r="K23" s="62" t="n">
        <v>461</v>
      </c>
      <c r="L23" s="63" t="inlineStr">
        <is>
          <t>HDMI Cable 1.5m High Speed Micro HDMI to HDMI cable (NOT Micro-USB)  Compatible with HD TV, Projector, MONITOR, CAMERA, GO PRO, etc-Black</t>
        </is>
      </c>
      <c r="M23" s="79" t="inlineStr">
        <is>
          <t xml:space="preserve">Connected </t>
        </is>
      </c>
      <c r="N23" s="79" t="n"/>
      <c r="O23" s="79" t="n"/>
      <c r="P23" s="79" t="n"/>
      <c r="Q23" s="79" t="n"/>
      <c r="R23" s="79" t="n"/>
      <c r="S23" s="79" t="n"/>
      <c r="T23" s="79" t="n"/>
      <c r="U23" s="79" t="n"/>
      <c r="V23" s="79" t="n"/>
      <c r="W23" s="79" t="n"/>
      <c r="X23" s="79" t="n"/>
      <c r="Y23" s="79" t="n"/>
      <c r="Z23" s="79" t="n"/>
    </row>
    <row r="24">
      <c r="A24" s="77" t="n"/>
      <c r="B24" s="78" t="n">
        <v>25092226312942</v>
      </c>
      <c r="C24" s="58" t="n"/>
      <c r="D24" s="65" t="n"/>
      <c r="E24" s="62" t="n">
        <v>179883</v>
      </c>
      <c r="F24" s="63" t="inlineStr">
        <is>
          <t xml:space="preserve">Md Sakhoyat </t>
        </is>
      </c>
      <c r="G24" s="60" t="n">
        <v>1600642935</v>
      </c>
      <c r="H24" s="61" t="inlineStr">
        <is>
          <t>Sirajganj</t>
        </is>
      </c>
      <c r="I24" s="63" t="inlineStr">
        <is>
          <t>Electronics</t>
        </is>
      </c>
      <c r="J24" s="63" t="inlineStr">
        <is>
          <t>Computers  Laptops</t>
        </is>
      </c>
      <c r="K24" s="62" t="n">
        <v>1150</v>
      </c>
      <c r="L24" s="63" t="inlineStr">
        <is>
          <t>Online Mini Ups6000mAh Powerful Battery Output 12V/12V/9V Long Backup Solution For Wifi Routers, Access Control, Ip Cameras, etc</t>
        </is>
      </c>
      <c r="M24" s="79" t="n"/>
      <c r="N24" s="79" t="n"/>
      <c r="O24" s="79" t="n"/>
      <c r="P24" s="79" t="n"/>
      <c r="Q24" s="79" t="n"/>
      <c r="R24" s="79" t="n"/>
      <c r="S24" s="79" t="n"/>
      <c r="T24" s="79" t="n"/>
      <c r="U24" s="79" t="n"/>
      <c r="V24" s="79" t="n"/>
      <c r="W24" s="79" t="n"/>
      <c r="X24" s="79" t="n"/>
      <c r="Y24" s="79" t="n"/>
      <c r="Z24" s="79" t="n"/>
    </row>
    <row r="25">
      <c r="A25" s="77" t="n"/>
      <c r="B25" s="78" t="n">
        <v>25091615622645</v>
      </c>
      <c r="C25" s="58" t="n"/>
      <c r="D25" s="65" t="n"/>
      <c r="E25" s="62" t="n">
        <v>692731</v>
      </c>
      <c r="F25" s="63" t="inlineStr">
        <is>
          <t xml:space="preserve">Mr./Ms. </t>
        </is>
      </c>
      <c r="G25" s="60" t="n">
        <v>1611202181</v>
      </c>
      <c r="H25" s="66" t="inlineStr">
        <is>
          <t>Sherpur</t>
        </is>
      </c>
      <c r="I25" s="63" t="inlineStr">
        <is>
          <t>Fashion</t>
        </is>
      </c>
      <c r="J25" s="63" t="inlineStr">
        <is>
          <t>Bags and Travel</t>
        </is>
      </c>
      <c r="K25" s="62" t="n">
        <v>90</v>
      </c>
      <c r="L25" s="63" t="inlineStr">
        <is>
          <t>Jeep Black Premium PU wallet For Man - Wallet For Men - Money Beg</t>
        </is>
      </c>
      <c r="M25" s="79" t="inlineStr">
        <is>
          <t>Not Connected</t>
        </is>
      </c>
      <c r="N25" s="79" t="n"/>
      <c r="O25" s="79" t="n"/>
      <c r="P25" s="79" t="n"/>
      <c r="Q25" s="79" t="n"/>
      <c r="R25" s="79" t="n"/>
      <c r="S25" s="79" t="n"/>
      <c r="T25" s="79" t="n"/>
      <c r="U25" s="79" t="n"/>
      <c r="V25" s="79" t="n"/>
      <c r="W25" s="79" t="n"/>
      <c r="X25" s="69" t="n"/>
      <c r="Y25" s="79" t="n"/>
      <c r="Z25" s="79" t="n"/>
    </row>
    <row r="26">
      <c r="A26" s="77" t="n"/>
      <c r="B26" s="78" t="n">
        <v>25091756461613</v>
      </c>
      <c r="C26" s="58" t="n"/>
      <c r="D26" s="65" t="n"/>
      <c r="E26" s="62" t="n">
        <v>229172</v>
      </c>
      <c r="F26" s="63" t="inlineStr">
        <is>
          <t xml:space="preserve">sm mamun </t>
        </is>
      </c>
      <c r="G26" s="60" t="n">
        <v>1969398537</v>
      </c>
      <c r="H26" s="66" t="inlineStr">
        <is>
          <t>Sherpur</t>
        </is>
      </c>
      <c r="I26" s="63" t="inlineStr">
        <is>
          <t>Electronics</t>
        </is>
      </c>
      <c r="J26" s="63" t="inlineStr">
        <is>
          <t>Mobiles  Tablets</t>
        </is>
      </c>
      <c r="K26" s="62" t="n">
        <v>96</v>
      </c>
      <c r="L26" s="63" t="inlineStr">
        <is>
          <t>Vivo Y20 / Vivo Y20i / Vivo Y20G / Vivo Y20S / Vivo Y12S / Y12a Soft TPU Transparent Phone Case Protective Back Cover</t>
        </is>
      </c>
      <c r="M26" s="79" t="inlineStr">
        <is>
          <t xml:space="preserve">Connected </t>
        </is>
      </c>
      <c r="N26" s="79" t="inlineStr">
        <is>
          <t>Yes</t>
        </is>
      </c>
      <c r="O26" s="79" t="inlineStr">
        <is>
          <t>Other</t>
        </is>
      </c>
      <c r="P26" s="79" t="inlineStr">
        <is>
          <t>Duplicate Order</t>
        </is>
      </c>
      <c r="Q26" s="79" t="n"/>
      <c r="R26" s="79" t="inlineStr">
        <is>
          <t>Yes (in time)</t>
        </is>
      </c>
      <c r="S26" s="79" t="inlineStr">
        <is>
          <t>No</t>
        </is>
      </c>
      <c r="T26" s="79" t="inlineStr">
        <is>
          <t>Didn’t try</t>
        </is>
      </c>
      <c r="U26" s="79" t="n"/>
      <c r="V26" s="79" t="n"/>
      <c r="W26" s="79" t="n">
        <v>10</v>
      </c>
      <c r="X26" s="79" t="n"/>
      <c r="Y26" s="79" t="inlineStr">
        <is>
          <t>Positive</t>
        </is>
      </c>
      <c r="Z26" s="79" t="n"/>
    </row>
    <row r="27">
      <c r="A27" s="77" t="n"/>
      <c r="B27" s="78" t="n">
        <v>25091815175782</v>
      </c>
      <c r="C27" s="58" t="n"/>
      <c r="D27" s="65" t="n"/>
      <c r="E27" s="62" t="n">
        <v>683761</v>
      </c>
      <c r="F27" s="63" t="inlineStr">
        <is>
          <t>md Aminul</t>
        </is>
      </c>
      <c r="G27" s="60" t="n">
        <v>1921788162</v>
      </c>
      <c r="H27" s="61" t="inlineStr">
        <is>
          <t>Sherpur</t>
        </is>
      </c>
      <c r="I27" s="63" t="inlineStr">
        <is>
          <t>Lifestyle</t>
        </is>
      </c>
      <c r="J27" s="63" t="inlineStr">
        <is>
          <t>Motors</t>
        </is>
      </c>
      <c r="K27" s="62" t="n">
        <v>1439</v>
      </c>
      <c r="L27" s="63" t="inlineStr">
        <is>
          <t>775 Motor Metal kit V2 Pump kit V2 all set with 775 Motor Metal Kit V2 and DC 775 Motor</t>
        </is>
      </c>
      <c r="M27" s="79" t="inlineStr">
        <is>
          <t>Not Connected</t>
        </is>
      </c>
      <c r="N27" s="79" t="n"/>
      <c r="O27" s="79" t="n"/>
      <c r="P27" s="79" t="n"/>
      <c r="Q27" s="79" t="n"/>
      <c r="R27" s="79" t="n"/>
      <c r="S27" s="79" t="n"/>
      <c r="T27" s="79" t="n"/>
      <c r="U27" s="79" t="n"/>
      <c r="V27" s="79" t="n"/>
      <c r="W27" s="79" t="n"/>
      <c r="X27" s="79" t="n"/>
      <c r="Y27" s="79" t="n"/>
      <c r="Z27" s="79" t="n"/>
    </row>
    <row r="28">
      <c r="A28" s="77" t="n"/>
      <c r="B28" s="78" t="n">
        <v>25091869284819</v>
      </c>
      <c r="C28" s="58" t="n"/>
      <c r="D28" s="65" t="n"/>
      <c r="E28" s="62" t="n">
        <v>692957</v>
      </c>
      <c r="F28" s="63" t="inlineStr">
        <is>
          <t xml:space="preserve">Mmm hhh </t>
        </is>
      </c>
      <c r="G28" s="60" t="n">
        <v>1953707111</v>
      </c>
      <c r="H28" s="66" t="inlineStr">
        <is>
          <t>Sherpur</t>
        </is>
      </c>
      <c r="I28" s="63" t="inlineStr">
        <is>
          <t>FMCG</t>
        </is>
      </c>
      <c r="J28" s="63" t="inlineStr">
        <is>
          <t>Groceries</t>
        </is>
      </c>
      <c r="K28" s="62" t="n">
        <v>1535</v>
      </c>
      <c r="L28" s="63" t="inlineStr">
        <is>
          <t>1 KG Walnuts Walnut Akhrut</t>
        </is>
      </c>
      <c r="M28" s="79" t="n"/>
      <c r="N28" s="79" t="n"/>
      <c r="O28" s="79" t="n"/>
      <c r="P28" s="79" t="n"/>
      <c r="Q28" s="79" t="n"/>
      <c r="R28" s="79" t="n"/>
      <c r="S28" s="79" t="n"/>
      <c r="T28" s="79" t="n"/>
      <c r="U28" s="79" t="n"/>
      <c r="V28" s="79" t="n"/>
      <c r="W28" s="79" t="n"/>
      <c r="X28" s="79" t="n"/>
      <c r="Y28" s="79" t="n"/>
      <c r="Z28" s="79" t="n"/>
    </row>
    <row r="29">
      <c r="A29" s="77" t="n"/>
      <c r="B29" s="78" t="n">
        <v>25091781675528</v>
      </c>
      <c r="C29" s="58" t="n"/>
      <c r="D29" s="65" t="n"/>
      <c r="E29" s="62" t="n">
        <v>683918</v>
      </c>
      <c r="F29" s="63" t="inlineStr">
        <is>
          <t xml:space="preserve">Md Rubel Hossen </t>
        </is>
      </c>
      <c r="G29" s="60" t="n">
        <v>1970108435</v>
      </c>
      <c r="H29" s="66" t="inlineStr">
        <is>
          <t>Shariatpur</t>
        </is>
      </c>
      <c r="I29" s="63" t="inlineStr">
        <is>
          <t>Fashion</t>
        </is>
      </c>
      <c r="J29" s="63" t="inlineStr">
        <is>
          <t>Bags and Travel</t>
        </is>
      </c>
      <c r="K29" s="62" t="n">
        <v>797</v>
      </c>
      <c r="L29" s="63" t="inlineStr">
        <is>
          <t>Arctic Hunter Laptop Bag &amp; College Bag</t>
        </is>
      </c>
      <c r="M29" s="79" t="inlineStr">
        <is>
          <t>Not Connected</t>
        </is>
      </c>
      <c r="N29" s="79" t="n"/>
      <c r="O29" s="79" t="n"/>
      <c r="P29" s="79" t="n"/>
      <c r="Q29" s="79" t="n"/>
      <c r="R29" s="79" t="n"/>
      <c r="S29" s="79" t="n"/>
      <c r="T29" s="79" t="n"/>
      <c r="U29" s="79" t="n"/>
      <c r="V29" s="79" t="n"/>
      <c r="W29" s="79" t="n"/>
      <c r="X29" s="79" t="n"/>
      <c r="Y29" s="79" t="n"/>
      <c r="Z29" s="79" t="n"/>
    </row>
    <row r="30">
      <c r="A30" s="77" t="n"/>
      <c r="B30" s="78" t="n">
        <v>25091960473862</v>
      </c>
      <c r="C30" s="58" t="n"/>
      <c r="D30" s="65" t="n"/>
      <c r="E30" s="62" t="n">
        <v>683373</v>
      </c>
      <c r="F30" s="63" t="inlineStr">
        <is>
          <t xml:space="preserve">Sanju Vai </t>
        </is>
      </c>
      <c r="G30" s="60" t="n">
        <v>1937466329</v>
      </c>
      <c r="H30" s="61" t="inlineStr">
        <is>
          <t>Shariatpur</t>
        </is>
      </c>
      <c r="I30" s="63" t="inlineStr">
        <is>
          <t>Fashion</t>
        </is>
      </c>
      <c r="J30" s="63" t="inlineStr">
        <is>
          <t>Watches Sunglasses Jewellery</t>
        </is>
      </c>
      <c r="K30" s="62" t="n">
        <v>299</v>
      </c>
      <c r="L30" s="63" t="inlineStr">
        <is>
          <t>Anti-reflective UV400 Squre Sunglass for Men ( Permium Quality )</t>
        </is>
      </c>
      <c r="M30" s="79" t="n"/>
      <c r="N30" s="79" t="n"/>
      <c r="O30" s="79" t="n"/>
      <c r="P30" s="79" t="n"/>
      <c r="Q30" s="79" t="n"/>
      <c r="R30" s="79" t="n"/>
      <c r="S30" s="79" t="n"/>
      <c r="T30" s="79" t="n"/>
      <c r="U30" s="79" t="n"/>
      <c r="V30" s="79" t="n"/>
      <c r="W30" s="79" t="n"/>
      <c r="X30" s="79" t="n"/>
      <c r="Y30" s="79" t="n"/>
      <c r="Z30" s="79" t="n"/>
    </row>
    <row r="31">
      <c r="A31" s="77" t="n"/>
      <c r="B31" s="78" t="n">
        <v>25091960610983</v>
      </c>
      <c r="C31" s="58" t="n"/>
      <c r="D31" s="65" t="n"/>
      <c r="E31" s="62" t="n">
        <v>598798</v>
      </c>
      <c r="F31" s="63" t="inlineStr">
        <is>
          <t xml:space="preserve">Shawon Bepary </t>
        </is>
      </c>
      <c r="G31" s="60" t="n">
        <v>1617960614</v>
      </c>
      <c r="H31" s="61" t="inlineStr">
        <is>
          <t>Shariatpur</t>
        </is>
      </c>
      <c r="I31" s="63" t="inlineStr">
        <is>
          <t>Electronics</t>
        </is>
      </c>
      <c r="J31" s="63" t="inlineStr">
        <is>
          <t>Home Appliances</t>
        </is>
      </c>
      <c r="K31" s="62" t="n">
        <v>749</v>
      </c>
      <c r="L31" s="63" t="inlineStr">
        <is>
          <t>Multifunctional Mini Electric Rice Cooker | Non-Stick Cooking Pot | 1.8 L. Non-Stick Cooker</t>
        </is>
      </c>
      <c r="M31" s="79" t="n"/>
      <c r="N31" s="79" t="n"/>
      <c r="O31" s="79" t="n"/>
      <c r="P31" s="79" t="n"/>
      <c r="Q31" s="79" t="n"/>
      <c r="R31" s="79" t="n"/>
      <c r="S31" s="79" t="n"/>
      <c r="T31" s="79" t="n"/>
      <c r="U31" s="79" t="n"/>
      <c r="V31" s="79" t="n"/>
      <c r="W31" s="79" t="n"/>
      <c r="X31" s="79" t="n"/>
      <c r="Y31" s="79" t="n"/>
      <c r="Z31" s="79" t="n"/>
    </row>
    <row r="32">
      <c r="A32" s="77" t="n"/>
      <c r="B32" s="78" t="n">
        <v>25092064946212</v>
      </c>
      <c r="C32" s="58" t="n"/>
      <c r="D32" s="65" t="n"/>
      <c r="E32" s="62" t="n">
        <v>694942</v>
      </c>
      <c r="F32" s="63" t="inlineStr">
        <is>
          <t xml:space="preserve">Mr./Ms. </t>
        </is>
      </c>
      <c r="G32" s="60" t="n">
        <v>1751388541</v>
      </c>
      <c r="H32" s="61" t="inlineStr">
        <is>
          <t>Shariatpur</t>
        </is>
      </c>
      <c r="I32" s="63" t="inlineStr">
        <is>
          <t>Fashion</t>
        </is>
      </c>
      <c r="J32" s="63" t="inlineStr">
        <is>
          <t>Watches Sunglasses Jewellery</t>
        </is>
      </c>
      <c r="K32" s="62" t="n">
        <v>290</v>
      </c>
      <c r="L32" s="63" t="inlineStr">
        <is>
          <t>O'levs Watches for Men Diamond Business Dress Analog Quartz Stainless Steel Date Luxury Casual Fashion Wrist Watch Luminous</t>
        </is>
      </c>
      <c r="M32" s="79" t="n"/>
      <c r="N32" s="79" t="n"/>
      <c r="O32" s="79" t="n"/>
      <c r="P32" s="79" t="n"/>
      <c r="Q32" s="79" t="n"/>
      <c r="R32" s="79" t="n"/>
      <c r="S32" s="79" t="n"/>
      <c r="T32" s="79" t="n"/>
      <c r="U32" s="79" t="n"/>
      <c r="V32" s="79" t="n"/>
      <c r="W32" s="79" t="n"/>
      <c r="X32" s="79" t="n"/>
      <c r="Y32" s="79" t="n"/>
      <c r="Z32" s="79" t="n"/>
    </row>
    <row r="33">
      <c r="A33" s="77" t="n"/>
      <c r="B33" s="78" t="n">
        <v>25091617226717</v>
      </c>
      <c r="C33" s="58" t="n"/>
      <c r="D33" s="65" t="n"/>
      <c r="E33" s="62" t="n">
        <v>560921</v>
      </c>
      <c r="F33" s="63" t="inlineStr">
        <is>
          <t xml:space="preserve">Hk Hasan </t>
        </is>
      </c>
      <c r="G33" s="60" t="n">
        <v>1603114039</v>
      </c>
      <c r="H33" s="61" t="inlineStr">
        <is>
          <t>Savar</t>
        </is>
      </c>
      <c r="I33" s="63" t="inlineStr">
        <is>
          <t>Lifestyle</t>
        </is>
      </c>
      <c r="J33" s="63" t="inlineStr">
        <is>
          <t>Tools, DIY  Outdoor</t>
        </is>
      </c>
      <c r="K33" s="62" t="n">
        <v>2520</v>
      </c>
      <c r="L33" s="63" t="inlineStr">
        <is>
          <t>NIICO Classic 5 Gang 1 Way Wall Switch (5 Year Warranty)</t>
        </is>
      </c>
      <c r="M33" s="79" t="inlineStr">
        <is>
          <t>Not Connected</t>
        </is>
      </c>
      <c r="N33" s="79" t="n"/>
      <c r="O33" s="79" t="n"/>
      <c r="P33" s="79" t="n"/>
      <c r="Q33" s="79" t="n"/>
      <c r="R33" s="79" t="n"/>
      <c r="S33" s="79" t="n"/>
      <c r="T33" s="79" t="n"/>
      <c r="U33" s="79" t="n"/>
      <c r="V33" s="79" t="n"/>
      <c r="W33" s="79" t="n"/>
      <c r="X33" s="79" t="n"/>
      <c r="Y33" s="79" t="n"/>
      <c r="Z33" s="79" t="n"/>
    </row>
    <row r="34">
      <c r="A34" s="77" t="n"/>
      <c r="B34" s="78" t="n">
        <v>25091621548176</v>
      </c>
      <c r="C34" s="63" t="inlineStr">
        <is>
          <t>Arefin</t>
        </is>
      </c>
      <c r="D34" s="65" t="n"/>
      <c r="E34" s="62" t="n">
        <v>692415</v>
      </c>
      <c r="F34" s="63" t="inlineStr">
        <is>
          <t xml:space="preserve">Mr./Ms. </t>
        </is>
      </c>
      <c r="G34" s="60" t="n">
        <v>1753331824</v>
      </c>
      <c r="H34" s="61" t="inlineStr">
        <is>
          <t>Savar</t>
        </is>
      </c>
      <c r="I34" s="63" t="inlineStr">
        <is>
          <t>Electronics</t>
        </is>
      </c>
      <c r="J34" s="63" t="inlineStr">
        <is>
          <t>Mobiles  Tablets</t>
        </is>
      </c>
      <c r="K34" s="62" t="n">
        <v>320</v>
      </c>
      <c r="L34" s="63" t="inlineStr">
        <is>
          <t>Samsung 25W PD Adapter super fast charging</t>
        </is>
      </c>
      <c r="M34" s="79" t="inlineStr">
        <is>
          <t xml:space="preserve">Connected </t>
        </is>
      </c>
      <c r="N34" s="79" t="inlineStr">
        <is>
          <t>Yes</t>
        </is>
      </c>
      <c r="O34" s="79" t="inlineStr">
        <is>
          <t>No one was home</t>
        </is>
      </c>
      <c r="P34" s="79" t="n"/>
      <c r="Q34" s="79" t="n"/>
      <c r="R34" s="79" t="inlineStr">
        <is>
          <t>Yes (in time)</t>
        </is>
      </c>
      <c r="S34" s="79" t="inlineStr">
        <is>
          <t>No</t>
        </is>
      </c>
      <c r="T34" s="79" t="inlineStr">
        <is>
          <t>Didn’t try</t>
        </is>
      </c>
      <c r="U34" s="79" t="n"/>
      <c r="V34" s="79" t="n"/>
      <c r="W34" s="79" t="n">
        <v>10</v>
      </c>
      <c r="X34" s="79" t="inlineStr">
        <is>
          <t>Overall good but the delivery timeline should reduced to 3-4 days.</t>
        </is>
      </c>
      <c r="Y34" s="79" t="inlineStr">
        <is>
          <t>Positive</t>
        </is>
      </c>
      <c r="Z34" s="79" t="n"/>
    </row>
    <row r="35">
      <c r="A35" s="77" t="n"/>
      <c r="B35" s="78" t="n">
        <v>25091672651651</v>
      </c>
      <c r="C35" s="58" t="n"/>
      <c r="D35" s="65" t="n"/>
      <c r="E35" s="62" t="n">
        <v>692794</v>
      </c>
      <c r="F35" s="63" t="inlineStr">
        <is>
          <t xml:space="preserve">Mr./Ms. </t>
        </is>
      </c>
      <c r="G35" s="60" t="n">
        <v>1327834055</v>
      </c>
      <c r="H35" s="61" t="inlineStr">
        <is>
          <t>Savar</t>
        </is>
      </c>
      <c r="I35" s="63" t="inlineStr">
        <is>
          <t>Lifestyle</t>
        </is>
      </c>
      <c r="J35" s="63" t="inlineStr">
        <is>
          <t>Sports  Outdoors</t>
        </is>
      </c>
      <c r="K35" s="62" t="n">
        <v>850</v>
      </c>
      <c r="L35" s="63" t="inlineStr">
        <is>
          <t>CA King Cricket Tape Tennis Bat ( boro der bat 34 inch)</t>
        </is>
      </c>
      <c r="M35" s="79" t="inlineStr">
        <is>
          <t xml:space="preserve">Connected </t>
        </is>
      </c>
      <c r="N35" s="79" t="inlineStr">
        <is>
          <t>Yes</t>
        </is>
      </c>
      <c r="O35" s="79" t="inlineStr">
        <is>
          <t>I refused</t>
        </is>
      </c>
      <c r="P35" s="79" t="inlineStr">
        <is>
          <t>Didn't had money</t>
        </is>
      </c>
      <c r="Q35" s="79" t="n"/>
      <c r="R35" s="79" t="inlineStr">
        <is>
          <t>Yes (in time)</t>
        </is>
      </c>
      <c r="S35" s="79" t="inlineStr">
        <is>
          <t>No</t>
        </is>
      </c>
      <c r="T35" s="79" t="inlineStr">
        <is>
          <t>Didn’t try</t>
        </is>
      </c>
      <c r="U35" s="79" t="n"/>
      <c r="V35" s="79" t="n"/>
      <c r="W35" s="79" t="n">
        <v>10</v>
      </c>
      <c r="X35" s="79" t="n"/>
      <c r="Y35" s="79" t="inlineStr">
        <is>
          <t>Positive</t>
        </is>
      </c>
      <c r="Z35" s="79" t="n"/>
    </row>
    <row r="36">
      <c r="A36" s="77" t="n"/>
      <c r="B36" s="78" t="n">
        <v>25091726426745</v>
      </c>
      <c r="C36" s="58" t="n"/>
      <c r="D36" s="65" t="n"/>
      <c r="E36" s="62" t="n">
        <v>695008</v>
      </c>
      <c r="F36" s="63" t="inlineStr">
        <is>
          <t xml:space="preserve">Mr./Ms. </t>
        </is>
      </c>
      <c r="G36" s="60" t="n">
        <v>1856049034</v>
      </c>
      <c r="H36" s="61" t="inlineStr">
        <is>
          <t>Savar</t>
        </is>
      </c>
      <c r="I36" s="63" t="inlineStr">
        <is>
          <t>Electronics</t>
        </is>
      </c>
      <c r="J36" s="63" t="inlineStr">
        <is>
          <t>Home Appliances</t>
        </is>
      </c>
      <c r="K36" s="62" t="n">
        <v>973</v>
      </c>
      <c r="L36" s="63" t="inlineStr">
        <is>
          <t>Y80 Ultra smart wireless charging watch 8 straps</t>
        </is>
      </c>
      <c r="M36" s="79" t="inlineStr">
        <is>
          <t xml:space="preserve">Connected </t>
        </is>
      </c>
      <c r="N36" s="79" t="inlineStr">
        <is>
          <t>Yes</t>
        </is>
      </c>
      <c r="O36" s="79" t="inlineStr">
        <is>
          <t>Damaged Package</t>
        </is>
      </c>
      <c r="P36" s="79" t="inlineStr">
        <is>
          <t>The customer complained that the delivery man took delivery charge from him by saying as he is returning the product it will be cut from his salary so he need to pay the delivery charge.</t>
        </is>
      </c>
      <c r="Q36" s="79" t="n"/>
      <c r="R36" s="79" t="inlineStr">
        <is>
          <t>Yes (in time)</t>
        </is>
      </c>
      <c r="S36" s="79" t="inlineStr">
        <is>
          <t>No</t>
        </is>
      </c>
      <c r="T36" s="79" t="inlineStr">
        <is>
          <t>Didn’t try</t>
        </is>
      </c>
      <c r="U36" s="79" t="n"/>
      <c r="V36" s="79" t="n"/>
      <c r="W36" s="79" t="n">
        <v>1</v>
      </c>
      <c r="X36" s="79" t="n"/>
      <c r="Y36" s="79" t="inlineStr">
        <is>
          <t>Negative</t>
        </is>
      </c>
      <c r="Z36" s="79" t="n"/>
    </row>
    <row r="37">
      <c r="A37" s="77" t="n"/>
      <c r="B37" s="78" t="n">
        <v>25091621933216</v>
      </c>
      <c r="C37" s="63" t="inlineStr">
        <is>
          <t>Arefin</t>
        </is>
      </c>
      <c r="D37" s="65" t="n"/>
      <c r="E37" s="62" t="n">
        <v>678044</v>
      </c>
      <c r="F37" s="63" t="inlineStr">
        <is>
          <t xml:space="preserve">Mr./Ms. </t>
        </is>
      </c>
      <c r="G37" s="60" t="n">
        <v>1937084800</v>
      </c>
      <c r="H37" s="66" t="inlineStr">
        <is>
          <t>Satkhira</t>
        </is>
      </c>
      <c r="I37" s="63" t="inlineStr">
        <is>
          <t>FMCG</t>
        </is>
      </c>
      <c r="J37" s="63" t="inlineStr">
        <is>
          <t>Health  Beauty</t>
        </is>
      </c>
      <c r="K37" s="62" t="n">
        <v>351</v>
      </c>
      <c r="L37" s="63" t="inlineStr">
        <is>
          <t>T9 Rechargeable Hair Cutting Trimmer</t>
        </is>
      </c>
      <c r="M37" s="79" t="inlineStr">
        <is>
          <t xml:space="preserve">Connected </t>
        </is>
      </c>
      <c r="N37" s="79" t="inlineStr">
        <is>
          <t>Yes</t>
        </is>
      </c>
      <c r="O37" s="79" t="inlineStr">
        <is>
          <t>No one was home</t>
        </is>
      </c>
      <c r="P37" s="79" t="n"/>
      <c r="Q37" s="79" t="n"/>
      <c r="R37" s="79" t="inlineStr">
        <is>
          <t>Yes (last moment)</t>
        </is>
      </c>
      <c r="S37" s="79" t="inlineStr">
        <is>
          <t>No</t>
        </is>
      </c>
      <c r="T37" s="79" t="inlineStr">
        <is>
          <t>Didn’t try</t>
        </is>
      </c>
      <c r="U37" s="79" t="n"/>
      <c r="V37" s="79" t="n"/>
      <c r="W37" s="79" t="n">
        <v>5</v>
      </c>
      <c r="X37" s="79" t="n"/>
      <c r="Y37" s="79" t="inlineStr">
        <is>
          <t>Neutral</t>
        </is>
      </c>
      <c r="Z37" s="79" t="n"/>
    </row>
    <row r="38">
      <c r="A38" s="77" t="n"/>
      <c r="B38" s="78" t="n">
        <v>25091660242752</v>
      </c>
      <c r="C38" s="58" t="n"/>
      <c r="D38" s="65" t="n"/>
      <c r="E38" s="62" t="n">
        <v>678044</v>
      </c>
      <c r="F38" s="63" t="inlineStr">
        <is>
          <t xml:space="preserve">Mr./Ms. </t>
        </is>
      </c>
      <c r="G38" s="60" t="n">
        <v>1937084800</v>
      </c>
      <c r="H38" s="66" t="inlineStr">
        <is>
          <t>Satkhira</t>
        </is>
      </c>
      <c r="I38" s="63" t="inlineStr">
        <is>
          <t>FMCG</t>
        </is>
      </c>
      <c r="J38" s="63" t="inlineStr">
        <is>
          <t>Health  Beauty</t>
        </is>
      </c>
      <c r="K38" s="62" t="n">
        <v>975</v>
      </c>
      <c r="L38" s="63" t="inlineStr">
        <is>
          <t>Kemei Km-3580 Multi-Functional Titanium 4 In 1 Professional Hair Beard Clipper Trimmer For Men - Trimmer - Trimmer</t>
        </is>
      </c>
      <c r="M38" s="79" t="inlineStr">
        <is>
          <t xml:space="preserve">Connected </t>
        </is>
      </c>
      <c r="N38" s="79" t="inlineStr">
        <is>
          <t>Yes</t>
        </is>
      </c>
      <c r="O38" s="79" t="inlineStr">
        <is>
          <t>No one was home</t>
        </is>
      </c>
      <c r="P38" s="79" t="n"/>
      <c r="Q38" s="79" t="n"/>
      <c r="R38" s="79" t="inlineStr">
        <is>
          <t>Yes (last moment)</t>
        </is>
      </c>
      <c r="S38" s="79" t="inlineStr">
        <is>
          <t>No</t>
        </is>
      </c>
      <c r="T38" s="79" t="inlineStr">
        <is>
          <t>Didn’t try</t>
        </is>
      </c>
      <c r="U38" s="79" t="n"/>
      <c r="V38" s="79" t="n"/>
      <c r="W38" s="79" t="n">
        <v>5</v>
      </c>
      <c r="X38" s="79" t="n"/>
      <c r="Y38" s="79" t="inlineStr">
        <is>
          <t>Neutral</t>
        </is>
      </c>
      <c r="Z38" s="79" t="n"/>
    </row>
    <row r="39">
      <c r="A39" s="77" t="n"/>
      <c r="B39" s="78" t="n">
        <v>25091735499471</v>
      </c>
      <c r="C39" s="58" t="n"/>
      <c r="D39" s="65" t="n"/>
      <c r="E39" s="62" t="n">
        <v>695034</v>
      </c>
      <c r="F39" s="63" t="inlineStr">
        <is>
          <t xml:space="preserve">Mr./Ms. </t>
        </is>
      </c>
      <c r="G39" s="60" t="n">
        <v>1683767711</v>
      </c>
      <c r="H39" s="66" t="inlineStr">
        <is>
          <t>Satkhira</t>
        </is>
      </c>
      <c r="I39" s="63" t="inlineStr">
        <is>
          <t>Lifestyle</t>
        </is>
      </c>
      <c r="J39" s="63" t="inlineStr">
        <is>
          <t>Laundry  Cleaning</t>
        </is>
      </c>
      <c r="K39" s="62" t="n">
        <v>462</v>
      </c>
      <c r="L39" s="63" t="inlineStr">
        <is>
          <t>Gap Cleaning Brush, Multifunctional Gap Brush Crevice Gap Cleaning Brush Tool, Joints Corners Cleaning Tool, Groove Cleaning Brush for Cleaning Bathroom, Kitchens Tile Floors</t>
        </is>
      </c>
      <c r="M39" s="79" t="inlineStr">
        <is>
          <t xml:space="preserve">Connected </t>
        </is>
      </c>
      <c r="N39" s="79" t="inlineStr">
        <is>
          <t>Yes</t>
        </is>
      </c>
      <c r="O39" s="79" t="inlineStr">
        <is>
          <t>Low Quality</t>
        </is>
      </c>
      <c r="P39" s="79" t="n"/>
      <c r="Q39" s="79" t="n"/>
      <c r="R39" s="79" t="inlineStr">
        <is>
          <t>Yes (in time)</t>
        </is>
      </c>
      <c r="S39" s="79" t="inlineStr">
        <is>
          <t>No</t>
        </is>
      </c>
      <c r="T39" s="79" t="inlineStr">
        <is>
          <t>Didn’t try</t>
        </is>
      </c>
      <c r="U39" s="79" t="n"/>
      <c r="V39" s="79" t="n"/>
      <c r="W39" s="79" t="n">
        <v>9</v>
      </c>
      <c r="X39" s="79" t="n"/>
      <c r="Y39" s="79" t="inlineStr">
        <is>
          <t>Positive</t>
        </is>
      </c>
      <c r="Z39" s="79" t="n"/>
    </row>
    <row r="40">
      <c r="A40" s="77" t="n"/>
      <c r="B40" s="78" t="n">
        <v>25091753920062</v>
      </c>
      <c r="C40" s="58" t="n"/>
      <c r="D40" s="65" t="n"/>
      <c r="E40" s="62" t="n">
        <v>383928</v>
      </c>
      <c r="F40" s="63" t="inlineStr">
        <is>
          <t xml:space="preserve">Mr./Ms. </t>
        </is>
      </c>
      <c r="G40" s="60" t="n">
        <v>1683767711</v>
      </c>
      <c r="H40" s="61" t="inlineStr">
        <is>
          <t>Satkhira</t>
        </is>
      </c>
      <c r="I40" s="63" t="inlineStr">
        <is>
          <t>FMCG</t>
        </is>
      </c>
      <c r="J40" s="63" t="inlineStr">
        <is>
          <t>Health  Beauty</t>
        </is>
      </c>
      <c r="K40" s="62" t="n">
        <v>1084</v>
      </c>
      <c r="L40" s="63" t="inlineStr">
        <is>
          <t>NIVEA MEN Deodrant Black&amp;White 72 H Invisible Fresh Antiperspirant in the ball for men 50ml</t>
        </is>
      </c>
      <c r="M40" s="79" t="inlineStr">
        <is>
          <t>Not Connected</t>
        </is>
      </c>
      <c r="N40" s="79" t="n"/>
      <c r="O40" s="79" t="n"/>
      <c r="P40" s="79" t="n"/>
      <c r="Q40" s="79" t="n"/>
      <c r="R40" s="79" t="n"/>
      <c r="S40" s="79" t="n"/>
      <c r="T40" s="79" t="n"/>
      <c r="U40" s="79" t="n"/>
      <c r="V40" s="79" t="n"/>
      <c r="W40" s="79" t="n"/>
      <c r="X40" s="79" t="n"/>
      <c r="Y40" s="79" t="n"/>
      <c r="Z40" s="79" t="n"/>
    </row>
    <row r="41">
      <c r="A41" s="77" t="n"/>
      <c r="B41" s="78" t="n">
        <v>25091834156028</v>
      </c>
      <c r="C41" s="58" t="n"/>
      <c r="D41" s="65" t="n"/>
      <c r="E41" s="62" t="n">
        <v>700316</v>
      </c>
      <c r="F41" s="63" t="inlineStr">
        <is>
          <t xml:space="preserve">Sohag Official </t>
        </is>
      </c>
      <c r="G41" s="60" t="n">
        <v>1580921423</v>
      </c>
      <c r="H41" s="66" t="inlineStr">
        <is>
          <t>Rangpur</t>
        </is>
      </c>
      <c r="I41" s="63" t="inlineStr">
        <is>
          <t>Electronics</t>
        </is>
      </c>
      <c r="J41" s="63" t="inlineStr">
        <is>
          <t>Mobiles  Tablets</t>
        </is>
      </c>
      <c r="K41" s="62" t="n">
        <v>172</v>
      </c>
      <c r="L41" s="63" t="inlineStr">
        <is>
          <t>Og Glass Protector For Samsung Galaxy S21 S21 Plus S22 S22 Plus S21 Fe S20Fe</t>
        </is>
      </c>
      <c r="M41" s="79" t="n"/>
      <c r="N41" s="79" t="n"/>
      <c r="O41" s="79" t="n"/>
      <c r="P41" s="79" t="n"/>
      <c r="Q41" s="79" t="n"/>
      <c r="R41" s="79" t="n"/>
      <c r="S41" s="79" t="n"/>
      <c r="T41" s="79" t="n"/>
      <c r="U41" s="79" t="n"/>
      <c r="V41" s="79" t="n"/>
      <c r="W41" s="79" t="n"/>
      <c r="X41" s="79" t="n"/>
      <c r="Y41" s="79" t="n"/>
      <c r="Z41" s="79" t="n"/>
    </row>
    <row r="42">
      <c r="A42" s="77" t="n"/>
      <c r="B42" s="78" t="n">
        <v>25091949257734</v>
      </c>
      <c r="C42" s="58" t="n"/>
      <c r="D42" s="65" t="n"/>
      <c r="E42" s="62" t="n">
        <v>222502</v>
      </c>
      <c r="F42" s="63" t="inlineStr">
        <is>
          <t xml:space="preserve">Rifat Jahan </t>
        </is>
      </c>
      <c r="G42" s="60" t="n">
        <v>1886756282</v>
      </c>
      <c r="H42" s="66" t="inlineStr">
        <is>
          <t>Rangpur</t>
        </is>
      </c>
      <c r="I42" s="63" t="inlineStr">
        <is>
          <t>Lifestyle</t>
        </is>
      </c>
      <c r="J42" s="63" t="inlineStr">
        <is>
          <t>Toys  Games</t>
        </is>
      </c>
      <c r="K42" s="62" t="n">
        <v>360</v>
      </c>
      <c r="L42" s="63" t="inlineStr">
        <is>
          <t>Pizza Cutter toys cake cutter toys for baby</t>
        </is>
      </c>
      <c r="M42" s="79" t="n"/>
      <c r="N42" s="79" t="n"/>
      <c r="O42" s="79" t="n"/>
      <c r="P42" s="79" t="n"/>
      <c r="Q42" s="79" t="n"/>
      <c r="R42" s="79" t="n"/>
      <c r="S42" s="79" t="n"/>
      <c r="T42" s="79" t="n"/>
      <c r="U42" s="79" t="n"/>
      <c r="V42" s="79" t="n"/>
      <c r="W42" s="79" t="n"/>
      <c r="X42" s="79" t="n"/>
      <c r="Y42" s="79" t="n"/>
      <c r="Z42" s="79" t="n"/>
    </row>
    <row r="43">
      <c r="A43" s="77" t="n"/>
      <c r="B43" s="78" t="n">
        <v>25092164004502</v>
      </c>
      <c r="C43" s="58" t="n"/>
      <c r="D43" s="65" t="n"/>
      <c r="E43" s="62" t="n">
        <v>710274</v>
      </c>
      <c r="F43" s="63" t="inlineStr">
        <is>
          <t xml:space="preserve">Mr./Ms. </t>
        </is>
      </c>
      <c r="G43" s="60" t="n">
        <v>1838736113</v>
      </c>
      <c r="H43" s="66" t="inlineStr">
        <is>
          <t>Rangpur</t>
        </is>
      </c>
      <c r="I43" s="63" t="inlineStr">
        <is>
          <t>Lifestyle</t>
        </is>
      </c>
      <c r="J43" s="63" t="inlineStr">
        <is>
          <t>Stationery  Craft</t>
        </is>
      </c>
      <c r="K43" s="62" t="n">
        <v>156</v>
      </c>
      <c r="L43" s="63" t="inlineStr">
        <is>
          <t>Ocb Slim Rolling Papers With Filter Tips – Black Rolling Paper – 1 Pack</t>
        </is>
      </c>
      <c r="M43" s="79" t="n"/>
      <c r="N43" s="79" t="n"/>
      <c r="O43" s="79" t="n"/>
      <c r="P43" s="79" t="n"/>
      <c r="Q43" s="79" t="n"/>
      <c r="R43" s="79" t="n"/>
      <c r="S43" s="79" t="n"/>
      <c r="T43" s="79" t="n"/>
      <c r="U43" s="79" t="n"/>
      <c r="V43" s="79" t="n"/>
      <c r="W43" s="79" t="n"/>
      <c r="X43" s="79" t="n"/>
      <c r="Y43" s="79" t="n"/>
      <c r="Z43" s="79" t="n"/>
    </row>
    <row r="44">
      <c r="A44" s="77" t="n"/>
      <c r="B44" s="78" t="n">
        <v>25092247719979</v>
      </c>
      <c r="C44" s="58" t="n"/>
      <c r="D44" s="65" t="n"/>
      <c r="E44" s="62" t="n">
        <v>711929</v>
      </c>
      <c r="F44" s="63" t="inlineStr">
        <is>
          <t xml:space="preserve">Md Jakirul Islam </t>
        </is>
      </c>
      <c r="G44" s="60" t="n">
        <v>1560063283</v>
      </c>
      <c r="H44" s="61" t="inlineStr">
        <is>
          <t>Rangpur</t>
        </is>
      </c>
      <c r="I44" s="63" t="inlineStr">
        <is>
          <t>Fashion</t>
        </is>
      </c>
      <c r="J44" s="63" t="inlineStr">
        <is>
          <t>Bags and Travel</t>
        </is>
      </c>
      <c r="K44" s="62" t="n">
        <v>150</v>
      </c>
      <c r="L44" s="63" t="inlineStr">
        <is>
          <t>Short Male Card Holder Designer Famous Brand Small Leather Men Wallet Man Coin Pocket Purse Carteras Money Portfel Walet</t>
        </is>
      </c>
      <c r="M44" s="79" t="n"/>
      <c r="N44" s="79" t="n"/>
      <c r="O44" s="79" t="n"/>
      <c r="P44" s="79" t="n"/>
      <c r="Q44" s="79" t="n"/>
      <c r="R44" s="79" t="n"/>
      <c r="S44" s="79" t="n"/>
      <c r="T44" s="79" t="n"/>
      <c r="U44" s="79" t="n"/>
      <c r="V44" s="79" t="n"/>
      <c r="W44" s="79" t="n"/>
      <c r="X44" s="79" t="n"/>
      <c r="Y44" s="79" t="n"/>
      <c r="Z44" s="79" t="n"/>
    </row>
    <row r="45">
      <c r="A45" s="77" t="n"/>
      <c r="B45" s="78" t="n">
        <v>25091991480029</v>
      </c>
      <c r="C45" s="58" t="n"/>
      <c r="D45" s="65" t="n"/>
      <c r="E45" s="62" t="n">
        <v>669979</v>
      </c>
      <c r="F45" s="63" t="inlineStr">
        <is>
          <t xml:space="preserve">Forhad Mazy </t>
        </is>
      </c>
      <c r="G45" s="60" t="n">
        <v>1804804986</v>
      </c>
      <c r="H45" s="66" t="inlineStr">
        <is>
          <t>Rangamati</t>
        </is>
      </c>
      <c r="I45" s="63" t="inlineStr">
        <is>
          <t>Fashion</t>
        </is>
      </c>
      <c r="J45" s="63" t="inlineStr">
        <is>
          <t>Watches Sunglasses Jewellery</t>
        </is>
      </c>
      <c r="K45" s="62" t="n">
        <v>417</v>
      </c>
      <c r="L45" s="63" t="inlineStr">
        <is>
          <t>Most Demanding Ringmaster 400UV Protection Sunglasses</t>
        </is>
      </c>
      <c r="M45" s="79" t="n"/>
      <c r="N45" s="79" t="n"/>
      <c r="O45" s="79" t="n"/>
      <c r="P45" s="79" t="n"/>
      <c r="Q45" s="79" t="n"/>
      <c r="R45" s="79" t="n"/>
      <c r="S45" s="79" t="n"/>
      <c r="T45" s="79" t="n"/>
      <c r="U45" s="79" t="n"/>
      <c r="V45" s="79" t="n"/>
      <c r="W45" s="79" t="n"/>
      <c r="X45" s="79" t="n"/>
      <c r="Y45" s="79" t="n"/>
      <c r="Z45" s="79" t="n"/>
    </row>
    <row r="46">
      <c r="A46" s="77" t="n"/>
      <c r="B46" s="78" t="n">
        <v>25092287881877</v>
      </c>
      <c r="C46" s="58" t="n"/>
      <c r="D46" s="65" t="n"/>
      <c r="E46" s="62" t="n">
        <v>713386</v>
      </c>
      <c r="F46" s="63" t="inlineStr">
        <is>
          <t xml:space="preserve">Ru Bel </t>
        </is>
      </c>
      <c r="G46" s="60" t="n">
        <v>1533196852</v>
      </c>
      <c r="H46" s="61" t="inlineStr">
        <is>
          <t>Rangamati</t>
        </is>
      </c>
      <c r="I46" s="63" t="inlineStr">
        <is>
          <t>Electronics</t>
        </is>
      </c>
      <c r="J46" s="63" t="inlineStr">
        <is>
          <t>Computers  Laptops</t>
        </is>
      </c>
      <c r="K46" s="62" t="n">
        <v>3703</v>
      </c>
      <c r="L46" s="63" t="inlineStr">
        <is>
          <t>Mercusys MR80X AX3000 Dual-Band Wi-Fi 6 Gigabit Router WiFi Speed up to 2402Mbps/5GHz + 574Mbps/2.4GHz, Gigabit 3 LAN Ports, 1 WAN Port Ideal for Gaming</t>
        </is>
      </c>
      <c r="M46" s="79" t="n"/>
      <c r="N46" s="79" t="n"/>
      <c r="O46" s="79" t="n"/>
      <c r="P46" s="79" t="n"/>
      <c r="Q46" s="79" t="n"/>
      <c r="R46" s="79" t="n"/>
      <c r="S46" s="79" t="n"/>
      <c r="T46" s="79" t="n"/>
      <c r="U46" s="79" t="n"/>
      <c r="V46" s="79" t="n"/>
      <c r="W46" s="79" t="n"/>
      <c r="X46" s="79" t="n"/>
      <c r="Y46" s="79" t="n"/>
      <c r="Z46" s="79" t="n"/>
    </row>
    <row r="47">
      <c r="A47" s="77" t="n"/>
      <c r="B47" s="78" t="n">
        <v>25092847717267</v>
      </c>
      <c r="C47" s="58" t="n"/>
      <c r="D47" s="65" t="n"/>
      <c r="E47" s="62" t="n">
        <v>714779</v>
      </c>
      <c r="F47" s="63" t="inlineStr">
        <is>
          <t xml:space="preserve">Mr./Ms. </t>
        </is>
      </c>
      <c r="G47" s="60" t="n">
        <v>1518375115</v>
      </c>
      <c r="H47" s="66" t="inlineStr">
        <is>
          <t>Rangamati</t>
        </is>
      </c>
      <c r="I47" s="63" t="inlineStr">
        <is>
          <t>Electronics</t>
        </is>
      </c>
      <c r="J47" s="63" t="inlineStr">
        <is>
          <t>Mobiles  Tablets</t>
        </is>
      </c>
      <c r="K47" s="62" t="n">
        <v>240</v>
      </c>
      <c r="L47" s="63" t="inlineStr">
        <is>
          <t>For Redmi Note 13 Pro 5G Silicone Back Cover</t>
        </is>
      </c>
      <c r="M47" s="79" t="n"/>
      <c r="N47" s="79" t="n"/>
      <c r="O47" s="79" t="n"/>
      <c r="P47" s="79" t="n"/>
      <c r="Q47" s="79" t="n"/>
      <c r="R47" s="79" t="n"/>
      <c r="S47" s="79" t="n"/>
      <c r="T47" s="79" t="n"/>
      <c r="U47" s="79" t="n"/>
      <c r="V47" s="79" t="n"/>
      <c r="W47" s="79" t="n"/>
      <c r="X47" s="79" t="n"/>
      <c r="Y47" s="79" t="n"/>
      <c r="Z47" s="79" t="n"/>
    </row>
    <row r="48">
      <c r="A48" s="77" t="n"/>
      <c r="B48" s="78" t="n">
        <v>25091796956513</v>
      </c>
      <c r="C48" s="58" t="n"/>
      <c r="D48" s="65" t="n"/>
      <c r="E48" s="62" t="n">
        <v>623479</v>
      </c>
      <c r="F48" s="63" t="inlineStr">
        <is>
          <t xml:space="preserve">Mr./Ms. </t>
        </is>
      </c>
      <c r="G48" s="60" t="n">
        <v>1321773654</v>
      </c>
      <c r="H48" s="61" t="inlineStr">
        <is>
          <t>Rajshahi</t>
        </is>
      </c>
      <c r="I48" s="63" t="inlineStr">
        <is>
          <t>Fashion</t>
        </is>
      </c>
      <c r="J48" s="63" t="inlineStr">
        <is>
          <t>Bags and Travel</t>
        </is>
      </c>
      <c r="K48" s="62" t="n">
        <v>936</v>
      </c>
      <c r="L48" s="63" t="inlineStr">
        <is>
          <t>Outdoor Small Mini bag 10L - school bag</t>
        </is>
      </c>
      <c r="M48" s="79" t="inlineStr">
        <is>
          <t>Not Connected</t>
        </is>
      </c>
      <c r="N48" s="79" t="inlineStr">
        <is>
          <t>No</t>
        </is>
      </c>
      <c r="O48" s="79" t="n"/>
      <c r="P48" s="79" t="n"/>
      <c r="Q48" s="79" t="n"/>
      <c r="R48" s="79" t="n"/>
      <c r="S48" s="79" t="n"/>
      <c r="T48" s="79" t="n"/>
      <c r="U48" s="79" t="n"/>
      <c r="V48" s="79" t="n"/>
      <c r="W48" s="79" t="n"/>
      <c r="X48" s="79" t="n"/>
      <c r="Y48" s="79" t="n"/>
      <c r="Z48" s="79" t="n"/>
    </row>
    <row r="49">
      <c r="A49" s="77" t="n"/>
      <c r="B49" s="78" t="n">
        <v>25091912077730</v>
      </c>
      <c r="C49" s="58" t="n"/>
      <c r="D49" s="65" t="n"/>
      <c r="E49" s="62" t="n">
        <v>701921</v>
      </c>
      <c r="F49" s="63" t="inlineStr">
        <is>
          <t xml:space="preserve">Ahsan Habib </t>
        </is>
      </c>
      <c r="G49" s="60" t="n">
        <v>1774073194</v>
      </c>
      <c r="H49" s="61" t="inlineStr">
        <is>
          <t>Rajshahi</t>
        </is>
      </c>
      <c r="I49" s="63" t="inlineStr">
        <is>
          <t>Fashion</t>
        </is>
      </c>
      <c r="J49" s="63" t="inlineStr">
        <is>
          <t>Bags and Travel</t>
        </is>
      </c>
      <c r="K49" s="62" t="n">
        <v>181</v>
      </c>
      <c r="L49" s="63" t="inlineStr">
        <is>
          <t>Leather Cross Body Bag Pack -Black</t>
        </is>
      </c>
      <c r="M49" s="79" t="n"/>
      <c r="N49" s="79" t="n"/>
      <c r="O49" s="79" t="n"/>
      <c r="P49" s="79" t="n"/>
      <c r="Q49" s="79" t="n"/>
      <c r="R49" s="79" t="n"/>
      <c r="S49" s="79" t="n"/>
      <c r="T49" s="79" t="n"/>
      <c r="U49" s="79" t="n"/>
      <c r="V49" s="79" t="n"/>
      <c r="W49" s="79" t="n"/>
      <c r="X49" s="79" t="n"/>
      <c r="Y49" s="79" t="n"/>
      <c r="Z49" s="79" t="n"/>
    </row>
    <row r="50">
      <c r="A50" s="77" t="n"/>
      <c r="B50" s="78" t="n">
        <v>25092059859140</v>
      </c>
      <c r="C50" s="58" t="n"/>
      <c r="D50" s="65" t="n"/>
      <c r="E50" s="62" t="n">
        <v>689293</v>
      </c>
      <c r="F50" s="63" t="inlineStr">
        <is>
          <t xml:space="preserve">Md.Momtazur Rahman </t>
        </is>
      </c>
      <c r="G50" s="60" t="n">
        <v>1328937851</v>
      </c>
      <c r="H50" s="61" t="inlineStr">
        <is>
          <t>Rajshahi</t>
        </is>
      </c>
      <c r="I50" s="63" t="inlineStr">
        <is>
          <t>Lifestyle</t>
        </is>
      </c>
      <c r="J50" s="63" t="inlineStr">
        <is>
          <t>Stationery  Craft</t>
        </is>
      </c>
      <c r="K50" s="62" t="n">
        <v>799</v>
      </c>
      <c r="L50" s="63" t="inlineStr">
        <is>
          <t>Drawing Art Set Painting Drawing Supplies 208 Pcs For Kids Box Artist Printing Art Set</t>
        </is>
      </c>
      <c r="M50" s="79" t="n"/>
      <c r="N50" s="79" t="n"/>
      <c r="O50" s="79" t="n"/>
      <c r="P50" s="79" t="n"/>
      <c r="Q50" s="79" t="n"/>
      <c r="R50" s="79" t="n"/>
      <c r="S50" s="79" t="n"/>
      <c r="T50" s="79" t="n"/>
      <c r="U50" s="79" t="n"/>
      <c r="V50" s="79" t="n"/>
      <c r="W50" s="79" t="n"/>
      <c r="X50" s="79" t="n"/>
      <c r="Y50" s="79" t="n"/>
      <c r="Z50" s="79" t="n"/>
    </row>
    <row r="51">
      <c r="A51" s="77" t="n"/>
      <c r="B51" s="78" t="n">
        <v>25092079182178</v>
      </c>
      <c r="C51" s="58" t="n"/>
      <c r="D51" s="65" t="n"/>
      <c r="E51" s="62" t="n">
        <v>642658</v>
      </c>
      <c r="F51" s="63" t="inlineStr">
        <is>
          <t xml:space="preserve">Mr./Ms. </t>
        </is>
      </c>
      <c r="G51" s="60" t="n">
        <v>1753618480</v>
      </c>
      <c r="H51" s="66" t="inlineStr">
        <is>
          <t>Rajshahi</t>
        </is>
      </c>
      <c r="I51" s="63" t="inlineStr">
        <is>
          <t>Fashion</t>
        </is>
      </c>
      <c r="J51" s="63" t="inlineStr">
        <is>
          <t>Bags and Travel</t>
        </is>
      </c>
      <c r="K51" s="62" t="n">
        <v>258</v>
      </c>
      <c r="L51" s="63" t="inlineStr">
        <is>
          <t>Men's Cross Body Shoulder Bag with Adjustable Strap (Black) - Siz e: 7Inch X 10inch X 3inch - Strap Type : Adjustable</t>
        </is>
      </c>
      <c r="M51" s="79" t="n"/>
      <c r="N51" s="79" t="n"/>
      <c r="O51" s="79" t="n"/>
      <c r="P51" s="79" t="n"/>
      <c r="Q51" s="79" t="n"/>
      <c r="R51" s="79" t="n"/>
      <c r="S51" s="79" t="n"/>
      <c r="T51" s="79" t="n"/>
      <c r="U51" s="79" t="n"/>
      <c r="V51" s="79" t="n"/>
      <c r="W51" s="79" t="n"/>
      <c r="X51" s="79" t="n"/>
      <c r="Y51" s="79" t="n"/>
      <c r="Z51" s="79" t="n"/>
    </row>
    <row r="52">
      <c r="A52" s="77" t="n"/>
      <c r="B52" s="78" t="n">
        <v>25091676273747</v>
      </c>
      <c r="C52" s="58" t="n"/>
      <c r="D52" s="65" t="n"/>
      <c r="E52" s="62" t="n">
        <v>283068</v>
      </c>
      <c r="F52" s="63" t="inlineStr">
        <is>
          <t>sumon islam</t>
        </is>
      </c>
      <c r="G52" s="60" t="n">
        <v>1977909573</v>
      </c>
      <c r="H52" s="66" t="inlineStr">
        <is>
          <t>Rajbari</t>
        </is>
      </c>
      <c r="I52" s="63" t="inlineStr">
        <is>
          <t>Electronics</t>
        </is>
      </c>
      <c r="J52" s="63" t="inlineStr">
        <is>
          <t>TV, Audio / Video, Gaming  Wearables</t>
        </is>
      </c>
      <c r="K52" s="62" t="n">
        <v>410</v>
      </c>
      <c r="L52" s="63" t="inlineStr">
        <is>
          <t>Bluetooth Neckband with Magnetic Headsets-Neckband</t>
        </is>
      </c>
      <c r="M52" s="79" t="inlineStr">
        <is>
          <t xml:space="preserve">Connected </t>
        </is>
      </c>
      <c r="N52" s="79" t="inlineStr">
        <is>
          <t>Yes</t>
        </is>
      </c>
      <c r="O52" s="79" t="inlineStr">
        <is>
          <t>Wrong Item</t>
        </is>
      </c>
      <c r="P52" s="79" t="inlineStr">
        <is>
          <t>Got different product</t>
        </is>
      </c>
      <c r="Q52" s="79" t="n"/>
      <c r="R52" s="79" t="inlineStr">
        <is>
          <t>Yes (in time)</t>
        </is>
      </c>
      <c r="S52" s="79" t="inlineStr">
        <is>
          <t>Yes (resolved)</t>
        </is>
      </c>
      <c r="T52" s="79" t="inlineStr">
        <is>
          <t>Didn’t try</t>
        </is>
      </c>
      <c r="U52" s="79" t="n"/>
      <c r="V52" s="79" t="n"/>
      <c r="W52" s="79" t="n">
        <v>7</v>
      </c>
      <c r="X52" s="79" t="n"/>
      <c r="Y52" s="79" t="inlineStr">
        <is>
          <t>Neutral</t>
        </is>
      </c>
      <c r="Z52" s="79" t="n"/>
    </row>
    <row r="53">
      <c r="A53" s="77" t="n"/>
      <c r="B53" s="78" t="n">
        <v>25091735975525</v>
      </c>
      <c r="C53" s="58" t="n"/>
      <c r="D53" s="65" t="n"/>
      <c r="E53" s="62" t="n">
        <v>697450</v>
      </c>
      <c r="F53" s="63" t="inlineStr">
        <is>
          <t xml:space="preserve">Mr./Ms. </t>
        </is>
      </c>
      <c r="G53" s="60" t="n">
        <v>1866962663</v>
      </c>
      <c r="H53" s="61" t="inlineStr">
        <is>
          <t>Rajbari</t>
        </is>
      </c>
      <c r="I53" s="63" t="inlineStr">
        <is>
          <t>Lifestyle</t>
        </is>
      </c>
      <c r="J53" s="63" t="inlineStr">
        <is>
          <t>Tools, DIY  Outdoor</t>
        </is>
      </c>
      <c r="K53" s="62" t="n">
        <v>1381</v>
      </c>
      <c r="L53" s="63" t="inlineStr">
        <is>
          <t>94 mm Unique very heavy Lock</t>
        </is>
      </c>
      <c r="M53" s="79" t="inlineStr">
        <is>
          <t xml:space="preserve">Connected </t>
        </is>
      </c>
      <c r="N53" s="79" t="inlineStr">
        <is>
          <t>Yes</t>
        </is>
      </c>
      <c r="O53" s="79" t="inlineStr">
        <is>
          <t>Courier didn’t wait</t>
        </is>
      </c>
      <c r="P53" s="79" t="inlineStr">
        <is>
          <t>The rider said he will come at 2 PM but rider arrived at 11 am when customer wasn't at home customer requested to wait but he didn't wait</t>
        </is>
      </c>
      <c r="Q53" s="79" t="n"/>
      <c r="R53" s="79" t="inlineStr">
        <is>
          <t>Yes (in time)</t>
        </is>
      </c>
      <c r="S53" s="79" t="inlineStr">
        <is>
          <t>No</t>
        </is>
      </c>
      <c r="T53" s="79" t="inlineStr">
        <is>
          <t>Didn’t try</t>
        </is>
      </c>
      <c r="U53" s="79" t="n"/>
      <c r="V53" s="79" t="n"/>
      <c r="W53" s="79" t="n">
        <v>10</v>
      </c>
      <c r="X53" s="79" t="n"/>
      <c r="Y53" s="79" t="inlineStr">
        <is>
          <t>Positive</t>
        </is>
      </c>
      <c r="Z53" s="79" t="n"/>
    </row>
    <row r="54">
      <c r="A54" s="77" t="n"/>
      <c r="B54" s="78" t="n">
        <v>25091780526753</v>
      </c>
      <c r="C54" s="58" t="n"/>
      <c r="D54" s="65" t="n"/>
      <c r="E54" s="62" t="n">
        <v>697450</v>
      </c>
      <c r="F54" s="63" t="inlineStr">
        <is>
          <t xml:space="preserve">Mr./Ms. </t>
        </is>
      </c>
      <c r="G54" s="60" t="n">
        <v>1866962663</v>
      </c>
      <c r="H54" s="61" t="inlineStr">
        <is>
          <t>Rajbari</t>
        </is>
      </c>
      <c r="I54" s="63" t="inlineStr">
        <is>
          <t>Lifestyle</t>
        </is>
      </c>
      <c r="J54" s="63" t="inlineStr">
        <is>
          <t>Tools, DIY  Outdoor</t>
        </is>
      </c>
      <c r="K54" s="62" t="n">
        <v>748</v>
      </c>
      <c r="L54" s="63" t="inlineStr">
        <is>
          <t>Motion sensor alarm / Home Security Pir Sensor Anti-Theft Remote Control Wireless Alarm</t>
        </is>
      </c>
      <c r="M54" s="79" t="inlineStr">
        <is>
          <t xml:space="preserve">Connected </t>
        </is>
      </c>
      <c r="N54" s="79" t="inlineStr">
        <is>
          <t>No</t>
        </is>
      </c>
      <c r="O54" s="79" t="n"/>
      <c r="P54" s="79" t="n"/>
      <c r="Q54" s="79" t="n"/>
      <c r="R54" s="79" t="n"/>
      <c r="S54" s="79" t="n"/>
      <c r="T54" s="79" t="n"/>
      <c r="U54" s="79" t="n"/>
      <c r="V54" s="79" t="n"/>
      <c r="W54" s="79" t="n"/>
      <c r="X54" s="79" t="n"/>
      <c r="Y54" s="79" t="n"/>
      <c r="Z54" s="79" t="n"/>
    </row>
    <row r="55">
      <c r="A55" s="77" t="n"/>
      <c r="B55" s="78" t="n">
        <v>25092155298597</v>
      </c>
      <c r="C55" s="58" t="n"/>
      <c r="D55" s="65" t="n"/>
      <c r="E55" s="62" t="n">
        <v>709016</v>
      </c>
      <c r="F55" s="63" t="inlineStr">
        <is>
          <t xml:space="preserve">M D Arman Sheikh </t>
        </is>
      </c>
      <c r="G55" s="60" t="n">
        <v>1965639840</v>
      </c>
      <c r="H55" s="66" t="inlineStr">
        <is>
          <t>Rajbari</t>
        </is>
      </c>
      <c r="I55" s="63" t="inlineStr">
        <is>
          <t>Fashion</t>
        </is>
      </c>
      <c r="J55" s="63" t="inlineStr">
        <is>
          <t>Fashion</t>
        </is>
      </c>
      <c r="K55" s="62" t="n">
        <v>2000</v>
      </c>
      <c r="L55" s="63" t="inlineStr">
        <is>
          <t>Ami Amar Moto Trendy Desing Soft &amp; Comfortable T-shirt For men new -T-shirt</t>
        </is>
      </c>
      <c r="M55" s="79" t="n"/>
      <c r="N55" s="79" t="n"/>
      <c r="O55" s="79" t="n"/>
      <c r="P55" s="79" t="n"/>
      <c r="Q55" s="79" t="n"/>
      <c r="R55" s="79" t="n"/>
      <c r="S55" s="79" t="n"/>
      <c r="T55" s="79" t="n"/>
      <c r="U55" s="79" t="n"/>
      <c r="V55" s="79" t="n"/>
      <c r="W55" s="79" t="n"/>
      <c r="X55" s="79" t="n"/>
      <c r="Y55" s="79" t="n"/>
      <c r="Z55" s="79" t="n"/>
    </row>
    <row r="56">
      <c r="A56" s="77" t="n"/>
      <c r="B56" s="78" t="n">
        <v>25091623444903</v>
      </c>
      <c r="C56" s="63" t="inlineStr">
        <is>
          <t>Arefin</t>
        </is>
      </c>
      <c r="D56" s="65" t="n"/>
      <c r="E56" s="62" t="n">
        <v>684668</v>
      </c>
      <c r="F56" s="63" t="inlineStr">
        <is>
          <t xml:space="preserve">Saifa Siddika </t>
        </is>
      </c>
      <c r="G56" s="60" t="n">
        <v>1724917240</v>
      </c>
      <c r="H56" s="66" t="inlineStr">
        <is>
          <t>Pirojpur</t>
        </is>
      </c>
      <c r="I56" s="63" t="inlineStr">
        <is>
          <t>Fashion</t>
        </is>
      </c>
      <c r="J56" s="63" t="inlineStr">
        <is>
          <t>Fashion</t>
        </is>
      </c>
      <c r="K56" s="62" t="n">
        <v>445</v>
      </c>
      <c r="L56" s="63" t="inlineStr">
        <is>
          <t>New Model Readymade Stylish And Comfortable Made By Lilen Fevric Gown One Piece For Girls</t>
        </is>
      </c>
      <c r="M56" s="79" t="inlineStr">
        <is>
          <t>Not Connected</t>
        </is>
      </c>
      <c r="N56" s="79" t="n"/>
      <c r="O56" s="79" t="n"/>
      <c r="P56" s="79" t="n"/>
      <c r="Q56" s="79" t="n"/>
      <c r="R56" s="79" t="n"/>
      <c r="S56" s="79" t="n"/>
      <c r="T56" s="79" t="n"/>
      <c r="U56" s="79" t="n"/>
      <c r="V56" s="79" t="n"/>
      <c r="W56" s="79" t="n"/>
      <c r="X56" s="79" t="n"/>
      <c r="Y56" s="79" t="n"/>
      <c r="Z56" s="79" t="n"/>
    </row>
    <row r="57">
      <c r="A57" s="77" t="n"/>
      <c r="B57" s="78" t="n">
        <v>25091696167166</v>
      </c>
      <c r="C57" s="58" t="n"/>
      <c r="D57" s="65" t="n"/>
      <c r="E57" s="62" t="n">
        <v>67340</v>
      </c>
      <c r="F57" s="63" t="inlineStr">
        <is>
          <t xml:space="preserve">Hasib Ahamed </t>
        </is>
      </c>
      <c r="G57" s="60" t="n">
        <v>1719620265</v>
      </c>
      <c r="H57" s="66" t="inlineStr">
        <is>
          <t>Pirojpur</t>
        </is>
      </c>
      <c r="I57" s="63" t="inlineStr">
        <is>
          <t>Electronics</t>
        </is>
      </c>
      <c r="J57" s="63" t="inlineStr">
        <is>
          <t>TV, Audio / Video, Gaming  Wearables</t>
        </is>
      </c>
      <c r="K57" s="62" t="n">
        <v>1570</v>
      </c>
      <c r="L57" s="63" t="inlineStr">
        <is>
          <t>SoundPEATS T3 Pro True Wireless Earbuds – Hybrid ANC, Dual Mic ENC, 30H Playtime</t>
        </is>
      </c>
      <c r="M57" s="79" t="inlineStr">
        <is>
          <t xml:space="preserve">Connected </t>
        </is>
      </c>
      <c r="N57" s="79" t="inlineStr">
        <is>
          <t>No</t>
        </is>
      </c>
      <c r="O57" s="79" t="n"/>
      <c r="P57" s="79" t="n"/>
      <c r="Q57" s="79" t="n"/>
      <c r="R57" s="79" t="n"/>
      <c r="S57" s="79" t="n"/>
      <c r="T57" s="79" t="n"/>
      <c r="U57" s="79" t="n"/>
      <c r="V57" s="79" t="n"/>
      <c r="W57" s="79" t="n"/>
      <c r="X57" s="79" t="n"/>
      <c r="Y57" s="79" t="n"/>
      <c r="Z57" s="79" t="n"/>
    </row>
    <row r="58">
      <c r="A58" s="77" t="n"/>
      <c r="B58" s="78" t="n">
        <v>25091797543876</v>
      </c>
      <c r="C58" s="58" t="n"/>
      <c r="D58" s="65" t="n"/>
      <c r="E58" s="62" t="n">
        <v>666132</v>
      </c>
      <c r="F58" s="63" t="inlineStr">
        <is>
          <t xml:space="preserve">Mr./Ms. </t>
        </is>
      </c>
      <c r="G58" s="60" t="n">
        <v>1740984475</v>
      </c>
      <c r="H58" s="66" t="inlineStr">
        <is>
          <t>Pirojpur</t>
        </is>
      </c>
      <c r="I58" s="63" t="inlineStr">
        <is>
          <t>Fashion</t>
        </is>
      </c>
      <c r="J58" s="63" t="inlineStr">
        <is>
          <t>Bags and Travel</t>
        </is>
      </c>
      <c r="K58" s="62" t="n">
        <v>528</v>
      </c>
      <c r="L58" s="63" t="inlineStr">
        <is>
          <t>Premium Minimalist Men's Wallet-Secure Credit Card Holder And Removable Money Clip Oil wax leather soft leather coin purse</t>
        </is>
      </c>
      <c r="M58" s="79" t="inlineStr">
        <is>
          <t xml:space="preserve">Connected </t>
        </is>
      </c>
      <c r="N58" s="79" t="inlineStr">
        <is>
          <t>Yes</t>
        </is>
      </c>
      <c r="O58" s="79" t="inlineStr">
        <is>
          <t>Low Quality</t>
        </is>
      </c>
      <c r="P58" s="79" t="n"/>
      <c r="Q58" s="79" t="n"/>
      <c r="R58" s="79" t="inlineStr">
        <is>
          <t>Yes (in time)</t>
        </is>
      </c>
      <c r="S58" s="79" t="inlineStr">
        <is>
          <t>No</t>
        </is>
      </c>
      <c r="T58" s="79" t="inlineStr">
        <is>
          <t>Didn’t try</t>
        </is>
      </c>
      <c r="U58" s="79" t="n"/>
      <c r="V58" s="79" t="n"/>
      <c r="W58" s="79" t="n">
        <v>8</v>
      </c>
      <c r="X58" s="79" t="n"/>
      <c r="Y58" s="79" t="inlineStr">
        <is>
          <t>Neutral</t>
        </is>
      </c>
      <c r="Z58" s="79" t="n"/>
    </row>
    <row r="59">
      <c r="A59" s="77" t="n"/>
      <c r="B59" s="78" t="n">
        <v>25091817993959</v>
      </c>
      <c r="C59" s="58" t="n"/>
      <c r="D59" s="65" t="n"/>
      <c r="E59" s="62" t="n">
        <v>663795</v>
      </c>
      <c r="F59" s="63" t="inlineStr">
        <is>
          <t xml:space="preserve">Mr./Ms. </t>
        </is>
      </c>
      <c r="G59" s="60" t="n">
        <v>1744228239</v>
      </c>
      <c r="H59" s="61" t="inlineStr">
        <is>
          <t>Pirojpur</t>
        </is>
      </c>
      <c r="I59" s="63" t="inlineStr">
        <is>
          <t>Fashion</t>
        </is>
      </c>
      <c r="J59" s="63" t="inlineStr">
        <is>
          <t>Watches Sunglasses Jewellery</t>
        </is>
      </c>
      <c r="K59" s="62" t="n">
        <v>189</v>
      </c>
      <c r="L59" s="63" t="inlineStr">
        <is>
          <t>New Skemi Sporty Digital Men's Watch with Rubber Belt</t>
        </is>
      </c>
      <c r="M59" s="79" t="inlineStr">
        <is>
          <t xml:space="preserve">Connected </t>
        </is>
      </c>
      <c r="N59" s="79" t="inlineStr">
        <is>
          <t>Yes</t>
        </is>
      </c>
      <c r="O59" s="79" t="inlineStr">
        <is>
          <t>Other</t>
        </is>
      </c>
      <c r="P59" s="79" t="inlineStr">
        <is>
          <t>Customer didn't had money</t>
        </is>
      </c>
      <c r="Q59" s="79" t="n"/>
      <c r="R59" s="79" t="inlineStr">
        <is>
          <t>Yes (in time)</t>
        </is>
      </c>
      <c r="S59" s="79" t="inlineStr">
        <is>
          <t>No</t>
        </is>
      </c>
      <c r="T59" s="79" t="inlineStr">
        <is>
          <t>Didn’t try</t>
        </is>
      </c>
      <c r="U59" s="79" t="n"/>
      <c r="V59" s="79" t="n"/>
      <c r="W59" s="79" t="n">
        <v>10</v>
      </c>
      <c r="X59" s="79" t="n"/>
      <c r="Y59" s="79" t="inlineStr">
        <is>
          <t>Positive</t>
        </is>
      </c>
      <c r="Z59" s="79" t="n"/>
    </row>
    <row r="60">
      <c r="A60" s="77" t="n"/>
      <c r="B60" s="78" t="n">
        <v>25091620943171</v>
      </c>
      <c r="C60" s="63" t="inlineStr">
        <is>
          <t>Arefin</t>
        </is>
      </c>
      <c r="D60" s="65" t="n"/>
      <c r="E60" s="62" t="n">
        <v>665698</v>
      </c>
      <c r="F60" s="63" t="inlineStr">
        <is>
          <t xml:space="preserve">Md Naim akon </t>
        </is>
      </c>
      <c r="G60" s="60" t="n">
        <v>1757091625</v>
      </c>
      <c r="H60" s="61" t="inlineStr">
        <is>
          <t>Patuakhali</t>
        </is>
      </c>
      <c r="I60" s="63" t="inlineStr">
        <is>
          <t>Lifestyle</t>
        </is>
      </c>
      <c r="J60" s="63" t="inlineStr">
        <is>
          <t>Sports  Outdoors</t>
        </is>
      </c>
      <c r="K60" s="62" t="n">
        <v>235</v>
      </c>
      <c r="L60" s="63" t="inlineStr">
        <is>
          <t>Bangladesh Football Jersey, Short Sleeve Jersey-Jersey Football - jarsi</t>
        </is>
      </c>
      <c r="M60" s="79" t="inlineStr">
        <is>
          <t>Not Connected</t>
        </is>
      </c>
      <c r="N60" s="79" t="n"/>
      <c r="O60" s="79" t="n"/>
      <c r="P60" s="79" t="n"/>
      <c r="Q60" s="79" t="n"/>
      <c r="R60" s="79" t="n"/>
      <c r="S60" s="79" t="n"/>
      <c r="T60" s="79" t="n"/>
      <c r="U60" s="79" t="n"/>
      <c r="V60" s="79" t="n"/>
      <c r="W60" s="79" t="n"/>
      <c r="X60" s="69" t="n"/>
      <c r="Y60" s="79" t="n"/>
      <c r="Z60" s="79" t="n"/>
    </row>
    <row r="61">
      <c r="A61" s="77" t="n"/>
      <c r="B61" s="78" t="n">
        <v>25091711431322</v>
      </c>
      <c r="C61" s="58" t="n"/>
      <c r="D61" s="65" t="n"/>
      <c r="E61" s="62" t="n">
        <v>696227</v>
      </c>
      <c r="F61" s="63" t="inlineStr">
        <is>
          <t xml:space="preserve">Depongkor Chandro </t>
        </is>
      </c>
      <c r="G61" s="60" t="n">
        <v>1647270433</v>
      </c>
      <c r="H61" s="66" t="inlineStr">
        <is>
          <t>Patuakhali</t>
        </is>
      </c>
      <c r="I61" s="63" t="inlineStr">
        <is>
          <t>Lifestyle</t>
        </is>
      </c>
      <c r="J61" s="63" t="inlineStr">
        <is>
          <t>Sports  Outdoors</t>
        </is>
      </c>
      <c r="K61" s="62" t="n">
        <v>322</v>
      </c>
      <c r="L61" s="63" t="inlineStr">
        <is>
          <t>India T20 World Cup New Half Sleeve Polo Cricket Jersey 2024</t>
        </is>
      </c>
      <c r="M61" s="79" t="inlineStr">
        <is>
          <t xml:space="preserve">Connected </t>
        </is>
      </c>
      <c r="N61" s="79" t="inlineStr">
        <is>
          <t>Yes</t>
        </is>
      </c>
      <c r="O61" s="79" t="inlineStr">
        <is>
          <t>Wrong Item</t>
        </is>
      </c>
      <c r="P61" s="79" t="inlineStr">
        <is>
          <t>Customer didn't get the right product</t>
        </is>
      </c>
      <c r="Q61" s="79" t="n"/>
      <c r="R61" s="79" t="inlineStr">
        <is>
          <t>Yes (in time)</t>
        </is>
      </c>
      <c r="S61" s="79" t="inlineStr">
        <is>
          <t>No</t>
        </is>
      </c>
      <c r="T61" s="79" t="inlineStr">
        <is>
          <t>Didn’t try</t>
        </is>
      </c>
      <c r="U61" s="79" t="n"/>
      <c r="V61" s="79" t="n"/>
      <c r="W61" s="79" t="n">
        <v>10</v>
      </c>
      <c r="X61" s="79" t="n"/>
      <c r="Y61" s="79" t="inlineStr">
        <is>
          <t>Positive</t>
        </is>
      </c>
      <c r="Z61" s="79" t="n"/>
    </row>
    <row r="62">
      <c r="A62" s="77" t="n"/>
      <c r="B62" s="78" t="n">
        <v>25091783958320</v>
      </c>
      <c r="C62" s="58" t="n"/>
      <c r="D62" s="65" t="n"/>
      <c r="E62" s="62" t="n">
        <v>695150</v>
      </c>
      <c r="F62" s="63" t="inlineStr">
        <is>
          <t xml:space="preserve">Mr./Ms. </t>
        </is>
      </c>
      <c r="G62" s="60" t="n">
        <v>1723041751</v>
      </c>
      <c r="H62" s="61" t="inlineStr">
        <is>
          <t>Patuakhali</t>
        </is>
      </c>
      <c r="I62" s="63" t="inlineStr">
        <is>
          <t>Electronics</t>
        </is>
      </c>
      <c r="J62" s="63" t="inlineStr">
        <is>
          <t>Mobiles  Tablets</t>
        </is>
      </c>
      <c r="K62" s="62" t="n">
        <v>123</v>
      </c>
      <c r="L62" s="63" t="inlineStr">
        <is>
          <t>Clip Mobile Phone Holder Stand 360 Flexible Clip Base Smartphone Holder 360 Rotate for Live Streaming Shoot Video</t>
        </is>
      </c>
      <c r="M62" s="79" t="inlineStr">
        <is>
          <t>Not Connected</t>
        </is>
      </c>
      <c r="N62" s="79" t="n"/>
      <c r="O62" s="79" t="n"/>
      <c r="P62" s="79" t="n"/>
      <c r="Q62" s="79" t="n"/>
      <c r="R62" s="79" t="n"/>
      <c r="S62" s="79" t="n"/>
      <c r="T62" s="79" t="n"/>
      <c r="U62" s="79" t="n"/>
      <c r="V62" s="79" t="n"/>
      <c r="W62" s="79" t="n"/>
      <c r="X62" s="79" t="n"/>
      <c r="Y62" s="79" t="n"/>
      <c r="Z62" s="79" t="n"/>
    </row>
    <row r="63">
      <c r="A63" s="77" t="n"/>
      <c r="B63" s="78" t="n">
        <v>25091863547052</v>
      </c>
      <c r="C63" s="58" t="n"/>
      <c r="D63" s="65" t="n"/>
      <c r="E63" s="62" t="n">
        <v>693092</v>
      </c>
      <c r="F63" s="63" t="inlineStr">
        <is>
          <t xml:space="preserve">Sohel Rana </t>
        </is>
      </c>
      <c r="G63" s="60" t="n">
        <v>1707324441</v>
      </c>
      <c r="H63" s="66" t="inlineStr">
        <is>
          <t>Patuakhali</t>
        </is>
      </c>
      <c r="I63" s="63" t="inlineStr">
        <is>
          <t>Lifestyle</t>
        </is>
      </c>
      <c r="J63" s="63" t="inlineStr">
        <is>
          <t>Tools, DIY  Outdoor</t>
        </is>
      </c>
      <c r="K63" s="62" t="n">
        <v>369</v>
      </c>
      <c r="L63" s="63" t="inlineStr">
        <is>
          <t>60W Soldering Iron Xcy 908 Adjustable 200-450 Temperature Control Hand Tools High Insulated</t>
        </is>
      </c>
      <c r="M63" s="79" t="n"/>
      <c r="N63" s="79" t="n"/>
      <c r="O63" s="79" t="n"/>
      <c r="P63" s="79" t="n"/>
      <c r="Q63" s="79" t="n"/>
      <c r="R63" s="79" t="n"/>
      <c r="S63" s="79" t="n"/>
      <c r="T63" s="79" t="n"/>
      <c r="U63" s="79" t="n"/>
      <c r="V63" s="79" t="n"/>
      <c r="W63" s="79" t="n"/>
      <c r="X63" s="79" t="n"/>
      <c r="Y63" s="79" t="n"/>
      <c r="Z63" s="79" t="n"/>
    </row>
    <row r="64">
      <c r="A64" s="77" t="n"/>
      <c r="B64" s="78" t="n">
        <v>25091671559063</v>
      </c>
      <c r="C64" s="58" t="n"/>
      <c r="D64" s="65" t="n"/>
      <c r="E64" s="62" t="n">
        <v>374566</v>
      </c>
      <c r="F64" s="63" t="inlineStr">
        <is>
          <t xml:space="preserve">SM Shoriful islam </t>
        </is>
      </c>
      <c r="G64" s="60" t="n">
        <v>1324078915</v>
      </c>
      <c r="H64" s="61" t="inlineStr">
        <is>
          <t>Panchagarh</t>
        </is>
      </c>
      <c r="I64" s="63" t="inlineStr">
        <is>
          <t>Electronics</t>
        </is>
      </c>
      <c r="J64" s="63" t="inlineStr">
        <is>
          <t>Mobiles  Tablets</t>
        </is>
      </c>
      <c r="K64" s="62" t="n">
        <v>130</v>
      </c>
      <c r="L64" s="63" t="inlineStr">
        <is>
          <t>Infinix Hot 60 Pro Plus  Flexible Clear Transparent Soft TPU Back Case Cover With Bumper</t>
        </is>
      </c>
      <c r="M64" s="79" t="inlineStr">
        <is>
          <t xml:space="preserve">Connected </t>
        </is>
      </c>
      <c r="N64" s="79" t="inlineStr">
        <is>
          <t>Yes</t>
        </is>
      </c>
      <c r="O64" s="79" t="inlineStr">
        <is>
          <t>I refused</t>
        </is>
      </c>
      <c r="P64" s="79" t="inlineStr">
        <is>
          <t>Customer didn't order his friend ordered</t>
        </is>
      </c>
      <c r="Q64" s="79" t="n"/>
      <c r="R64" s="79" t="inlineStr">
        <is>
          <t>Yes (in time)</t>
        </is>
      </c>
      <c r="S64" s="79" t="inlineStr">
        <is>
          <t>Not Required</t>
        </is>
      </c>
      <c r="T64" s="79" t="inlineStr">
        <is>
          <t>Didn’t try</t>
        </is>
      </c>
      <c r="U64" s="79" t="n"/>
      <c r="V64" s="79" t="n"/>
      <c r="W64" s="79" t="n">
        <v>10</v>
      </c>
      <c r="X64" s="79" t="n"/>
      <c r="Y64" s="79" t="inlineStr">
        <is>
          <t>Positive</t>
        </is>
      </c>
      <c r="Z64" s="79" t="n"/>
    </row>
    <row r="65">
      <c r="A65" s="77" t="n"/>
      <c r="B65" s="78" t="n">
        <v>25091959866461</v>
      </c>
      <c r="C65" s="58" t="n"/>
      <c r="D65" s="65" t="n"/>
      <c r="E65" s="62" t="n">
        <v>138197</v>
      </c>
      <c r="F65" s="63" t="inlineStr">
        <is>
          <t xml:space="preserve">MD abdur Razzak </t>
        </is>
      </c>
      <c r="G65" s="60" t="n">
        <v>1762012618</v>
      </c>
      <c r="H65" s="66" t="inlineStr">
        <is>
          <t>Panchagarh</t>
        </is>
      </c>
      <c r="I65" s="63" t="inlineStr">
        <is>
          <t>Fashion</t>
        </is>
      </c>
      <c r="J65" s="63" t="inlineStr">
        <is>
          <t>Fashion</t>
        </is>
      </c>
      <c r="K65" s="62" t="n">
        <v>489</v>
      </c>
      <c r="L65" s="63" t="inlineStr">
        <is>
          <t>Premium BMW 12 Ribs Umbrella | Auto Lock | UV Protected | BMW Umbrella | Chata | bmw ছাতা | 12 Shik</t>
        </is>
      </c>
      <c r="M65" s="79" t="n"/>
      <c r="N65" s="79" t="n"/>
      <c r="O65" s="79" t="n"/>
      <c r="P65" s="79" t="n"/>
      <c r="Q65" s="79" t="n"/>
      <c r="R65" s="79" t="n"/>
      <c r="S65" s="79" t="n"/>
      <c r="T65" s="79" t="n"/>
      <c r="U65" s="79" t="n"/>
      <c r="V65" s="79" t="n"/>
      <c r="W65" s="79" t="n"/>
      <c r="X65" s="79" t="n"/>
      <c r="Y65" s="79" t="n"/>
      <c r="Z65" s="79" t="n"/>
    </row>
    <row r="66">
      <c r="A66" s="77" t="n"/>
      <c r="B66" s="78" t="n">
        <v>25092349748682</v>
      </c>
      <c r="C66" s="58" t="n"/>
      <c r="D66" s="65" t="n"/>
      <c r="E66" s="62" t="n">
        <v>716548</v>
      </c>
      <c r="F66" s="63" t="inlineStr">
        <is>
          <t xml:space="preserve">Mr./Ms. </t>
        </is>
      </c>
      <c r="G66" s="60" t="n">
        <v>1838025964</v>
      </c>
      <c r="H66" s="61" t="inlineStr">
        <is>
          <t>Panchagarh</t>
        </is>
      </c>
      <c r="I66" s="63" t="inlineStr">
        <is>
          <t>Fashion</t>
        </is>
      </c>
      <c r="J66" s="63" t="inlineStr">
        <is>
          <t>Watches Sunglasses Jewellery</t>
        </is>
      </c>
      <c r="K66" s="62" t="n">
        <v>97</v>
      </c>
      <c r="L66" s="63" t="inlineStr">
        <is>
          <t>Necklaces Cross Cool Street Style Necklace Men's Jewelry</t>
        </is>
      </c>
      <c r="M66" s="79" t="n"/>
      <c r="N66" s="79" t="n"/>
      <c r="O66" s="79" t="n"/>
      <c r="P66" s="79" t="n"/>
      <c r="Q66" s="79" t="n"/>
      <c r="R66" s="79" t="n"/>
      <c r="S66" s="79" t="n"/>
      <c r="T66" s="79" t="n"/>
      <c r="U66" s="79" t="n"/>
      <c r="V66" s="79" t="n"/>
      <c r="W66" s="79" t="n"/>
      <c r="X66" s="79" t="n"/>
      <c r="Y66" s="79" t="n"/>
      <c r="Z66" s="79" t="n"/>
    </row>
    <row r="67">
      <c r="A67" s="77" t="n"/>
      <c r="B67" s="78" t="n">
        <v>25092611509638</v>
      </c>
      <c r="C67" s="58" t="n"/>
      <c r="D67" s="65" t="n"/>
      <c r="E67" s="62" t="n">
        <v>725369</v>
      </c>
      <c r="F67" s="63" t="inlineStr">
        <is>
          <t>Sobuz Rahman</t>
        </is>
      </c>
      <c r="G67" s="60" t="n">
        <v>1753504013</v>
      </c>
      <c r="H67" s="66" t="inlineStr">
        <is>
          <t>Panchagarh</t>
        </is>
      </c>
      <c r="I67" s="63" t="inlineStr">
        <is>
          <t>FMCG</t>
        </is>
      </c>
      <c r="J67" s="63" t="inlineStr">
        <is>
          <t>Pet Supplies</t>
        </is>
      </c>
      <c r="K67" s="62" t="n">
        <v>120</v>
      </c>
      <c r="L67" s="63" t="inlineStr">
        <is>
          <t>Radium Belt Pet Cat Collar With Bell Puppy Neck Strap Soft For Dog Collars Cat Belt - Cat Belt</t>
        </is>
      </c>
      <c r="M67" s="79" t="n"/>
      <c r="N67" s="79" t="n"/>
      <c r="O67" s="79" t="n"/>
      <c r="P67" s="79" t="n"/>
      <c r="Q67" s="79" t="n"/>
      <c r="R67" s="79" t="n"/>
      <c r="S67" s="79" t="n"/>
      <c r="T67" s="79" t="n"/>
      <c r="U67" s="79" t="n"/>
      <c r="V67" s="79" t="n"/>
      <c r="W67" s="79" t="n"/>
      <c r="X67" s="79" t="n"/>
      <c r="Y67" s="79" t="n"/>
      <c r="Z67" s="79" t="n"/>
    </row>
    <row r="68">
      <c r="A68" s="77" t="n"/>
      <c r="B68" s="78" t="n">
        <v>25091631987830</v>
      </c>
      <c r="C68" s="63" t="inlineStr">
        <is>
          <t>Arefin</t>
        </is>
      </c>
      <c r="D68" s="65" t="n"/>
      <c r="E68" s="62" t="n">
        <v>108633</v>
      </c>
      <c r="F68" s="63" t="inlineStr">
        <is>
          <t>hasan khan</t>
        </is>
      </c>
      <c r="G68" s="60" t="n">
        <v>1608503819</v>
      </c>
      <c r="H68" s="66" t="inlineStr">
        <is>
          <t>Pabna</t>
        </is>
      </c>
      <c r="I68" s="63" t="inlineStr">
        <is>
          <t>Lifestyle</t>
        </is>
      </c>
      <c r="J68" s="63" t="inlineStr">
        <is>
          <t>Bedding  Bath</t>
        </is>
      </c>
      <c r="K68" s="62" t="n">
        <v>466</v>
      </c>
      <c r="L68" s="63" t="inlineStr">
        <is>
          <t>AC HOME TEX Cotton King Size Bed Sheet 7 feet by 8 feet And Pillow Cover</t>
        </is>
      </c>
      <c r="M68" s="79" t="inlineStr">
        <is>
          <t xml:space="preserve">Connected </t>
        </is>
      </c>
      <c r="N68" s="79" t="inlineStr">
        <is>
          <t>Yes</t>
        </is>
      </c>
      <c r="O68" s="79" t="inlineStr">
        <is>
          <t>Other</t>
        </is>
      </c>
      <c r="P68" s="79" t="n"/>
      <c r="Q68" s="79" t="n"/>
      <c r="R68" s="79" t="inlineStr">
        <is>
          <t>Yes (last moment)</t>
        </is>
      </c>
      <c r="S68" s="79" t="inlineStr">
        <is>
          <t>No</t>
        </is>
      </c>
      <c r="T68" s="79" t="inlineStr">
        <is>
          <t>Didn’t try</t>
        </is>
      </c>
      <c r="U68" s="79" t="n"/>
      <c r="V68" s="79" t="n"/>
      <c r="W68" s="79" t="n">
        <v>10</v>
      </c>
      <c r="X68" s="79" t="n"/>
      <c r="Y68" s="79" t="inlineStr">
        <is>
          <t>Positive</t>
        </is>
      </c>
      <c r="Z68" s="79" t="n"/>
    </row>
    <row r="69">
      <c r="A69" s="77" t="n"/>
      <c r="B69" s="78" t="n">
        <v>25091744006200</v>
      </c>
      <c r="C69" s="58" t="n"/>
      <c r="D69" s="65" t="n"/>
      <c r="E69" s="62" t="n">
        <v>696884</v>
      </c>
      <c r="F69" s="63" t="inlineStr">
        <is>
          <t xml:space="preserve">MD Nayim Hasan </t>
        </is>
      </c>
      <c r="G69" s="60" t="n">
        <v>1757163498</v>
      </c>
      <c r="H69" s="61" t="inlineStr">
        <is>
          <t>Pabna</t>
        </is>
      </c>
      <c r="I69" s="63" t="inlineStr">
        <is>
          <t>Electronics</t>
        </is>
      </c>
      <c r="J69" s="63" t="inlineStr">
        <is>
          <t>Mobiles  Tablets</t>
        </is>
      </c>
      <c r="K69" s="62" t="n">
        <v>125</v>
      </c>
      <c r="L69" s="63" t="inlineStr">
        <is>
          <t>Soft Silicon Mobile Back Cover for Xiaomi Redmi Note 13 Pro 4G</t>
        </is>
      </c>
      <c r="M69" s="79" t="inlineStr">
        <is>
          <t xml:space="preserve">Connected </t>
        </is>
      </c>
      <c r="N69" s="79" t="inlineStr">
        <is>
          <t>No</t>
        </is>
      </c>
      <c r="O69" s="79" t="n"/>
      <c r="P69" s="79" t="n"/>
      <c r="Q69" s="79" t="n"/>
      <c r="R69" s="79" t="n"/>
      <c r="S69" s="79" t="n"/>
      <c r="T69" s="79" t="n"/>
      <c r="U69" s="79" t="n"/>
      <c r="V69" s="79" t="n"/>
      <c r="W69" s="79" t="n"/>
      <c r="X69" s="79" t="n"/>
      <c r="Y69" s="79" t="n"/>
      <c r="Z69" s="79" t="n"/>
    </row>
    <row r="70">
      <c r="A70" s="77" t="n"/>
      <c r="B70" s="78" t="n">
        <v>25091772163043</v>
      </c>
      <c r="C70" s="58" t="n"/>
      <c r="D70" s="65" t="n"/>
      <c r="E70" s="62" t="n">
        <v>403932</v>
      </c>
      <c r="F70" s="63" t="inlineStr">
        <is>
          <t xml:space="preserve">Mr./Ms. </t>
        </is>
      </c>
      <c r="G70" s="60" t="n">
        <v>1781404520</v>
      </c>
      <c r="H70" s="66" t="inlineStr">
        <is>
          <t>Pabna</t>
        </is>
      </c>
      <c r="I70" s="63" t="inlineStr">
        <is>
          <t>Lifestyle</t>
        </is>
      </c>
      <c r="J70" s="63" t="inlineStr">
        <is>
          <t>Kitchen  Dining</t>
        </is>
      </c>
      <c r="K70" s="62" t="n">
        <v>129</v>
      </c>
      <c r="L70" s="63" t="inlineStr">
        <is>
          <t>Bamboo &amp; Wood Kitchen Cooking Spoon (5 Piece Set)</t>
        </is>
      </c>
      <c r="M70" s="79" t="inlineStr">
        <is>
          <t xml:space="preserve">Connected </t>
        </is>
      </c>
      <c r="N70" s="79" t="inlineStr">
        <is>
          <t>Yes</t>
        </is>
      </c>
      <c r="O70" s="79" t="inlineStr">
        <is>
          <t>Other</t>
        </is>
      </c>
      <c r="P70" s="79" t="inlineStr">
        <is>
          <t>Already bought from outside</t>
        </is>
      </c>
      <c r="Q70" s="79" t="n"/>
      <c r="R70" s="79" t="inlineStr">
        <is>
          <t>Yes (in time)</t>
        </is>
      </c>
      <c r="S70" s="79" t="inlineStr">
        <is>
          <t>No</t>
        </is>
      </c>
      <c r="T70" s="79" t="inlineStr">
        <is>
          <t>Didn’t try</t>
        </is>
      </c>
      <c r="U70" s="79" t="n"/>
      <c r="V70" s="79" t="n"/>
      <c r="W70" s="79" t="n">
        <v>8</v>
      </c>
      <c r="X70" s="79" t="n"/>
      <c r="Y70" s="79" t="inlineStr">
        <is>
          <t>Neutral</t>
        </is>
      </c>
      <c r="Z70" s="79" t="n"/>
    </row>
    <row r="71">
      <c r="A71" s="77" t="n"/>
      <c r="B71" s="78" t="n">
        <v>25091925702665</v>
      </c>
      <c r="C71" s="58" t="n"/>
      <c r="D71" s="65" t="n"/>
      <c r="E71" s="62" t="n">
        <v>674234</v>
      </c>
      <c r="F71" s="63" t="inlineStr">
        <is>
          <t xml:space="preserve">Md Kawsar Jr. </t>
        </is>
      </c>
      <c r="G71" s="60" t="n">
        <v>1772847032</v>
      </c>
      <c r="H71" s="66" t="inlineStr">
        <is>
          <t>Pabna</t>
        </is>
      </c>
      <c r="I71" s="63" t="inlineStr">
        <is>
          <t>Electronics</t>
        </is>
      </c>
      <c r="J71" s="63" t="inlineStr">
        <is>
          <t>Mobiles  Tablets</t>
        </is>
      </c>
      <c r="K71" s="62" t="n">
        <v>298</v>
      </c>
      <c r="L71" s="63" t="inlineStr">
        <is>
          <t>For Infinix Hot 50 Pro Plus Luxury Soft Silicon Hollow Cooling Casing Cover</t>
        </is>
      </c>
      <c r="M71" s="79" t="n"/>
      <c r="N71" s="79" t="n"/>
      <c r="O71" s="79" t="n"/>
      <c r="P71" s="79" t="n"/>
      <c r="Q71" s="79" t="n"/>
      <c r="R71" s="79" t="n"/>
      <c r="S71" s="79" t="n"/>
      <c r="T71" s="79" t="n"/>
      <c r="U71" s="79" t="n"/>
      <c r="V71" s="79" t="n"/>
      <c r="W71" s="79" t="n"/>
      <c r="X71" s="79" t="n"/>
      <c r="Y71" s="79" t="n"/>
      <c r="Z71" s="79" t="n"/>
    </row>
    <row r="72">
      <c r="A72" s="77" t="n"/>
      <c r="B72" s="78" t="n">
        <v>25091662242090</v>
      </c>
      <c r="C72" s="58" t="n"/>
      <c r="D72" s="65" t="n"/>
      <c r="E72" s="62" t="n">
        <v>684695</v>
      </c>
      <c r="F72" s="63" t="inlineStr">
        <is>
          <t>Md Sojib khan</t>
        </is>
      </c>
      <c r="G72" s="60" t="n">
        <v>1817092468</v>
      </c>
      <c r="H72" s="61" t="inlineStr">
        <is>
          <t>Noakhali</t>
        </is>
      </c>
      <c r="I72" s="63" t="inlineStr">
        <is>
          <t>FMCG</t>
        </is>
      </c>
      <c r="J72" s="63" t="inlineStr">
        <is>
          <t>Pet Supplies</t>
        </is>
      </c>
      <c r="K72" s="62" t="n">
        <v>228</v>
      </c>
      <c r="L72" s="63" t="inlineStr">
        <is>
          <t>Quail Eggs Setter Trays for Birds and Quail 99 Eggs Incubator Setting Tray</t>
        </is>
      </c>
      <c r="M72" s="79" t="inlineStr">
        <is>
          <t xml:space="preserve">Connected </t>
        </is>
      </c>
      <c r="N72" s="79" t="inlineStr">
        <is>
          <t>Yes</t>
        </is>
      </c>
      <c r="O72" s="79" t="inlineStr">
        <is>
          <t>Wrong Item</t>
        </is>
      </c>
      <c r="P72" s="79" t="n"/>
      <c r="Q72" s="79" t="n"/>
      <c r="R72" s="79" t="inlineStr">
        <is>
          <t>Yes (in time)</t>
        </is>
      </c>
      <c r="S72" s="79" t="inlineStr">
        <is>
          <t>No</t>
        </is>
      </c>
      <c r="T72" s="79" t="inlineStr">
        <is>
          <t>Didn’t try</t>
        </is>
      </c>
      <c r="U72" s="79" t="n"/>
      <c r="V72" s="79" t="n"/>
      <c r="W72" s="79" t="n">
        <v>8</v>
      </c>
      <c r="X72" s="79" t="n"/>
      <c r="Y72" s="79" t="inlineStr">
        <is>
          <t>Positive</t>
        </is>
      </c>
      <c r="Z72" s="79" t="n"/>
    </row>
    <row r="73">
      <c r="A73" s="77" t="n"/>
      <c r="B73" s="78" t="n">
        <v>25091666137590</v>
      </c>
      <c r="C73" s="58" t="n"/>
      <c r="D73" s="65" t="n"/>
      <c r="E73" s="62" t="n">
        <v>627865</v>
      </c>
      <c r="F73" s="63" t="inlineStr">
        <is>
          <t xml:space="preserve">Mr./Ms. </t>
        </is>
      </c>
      <c r="G73" s="60" t="n">
        <v>1864190749</v>
      </c>
      <c r="H73" s="66" t="inlineStr">
        <is>
          <t>Noakhali</t>
        </is>
      </c>
      <c r="I73" s="63" t="inlineStr">
        <is>
          <t>FMCG</t>
        </is>
      </c>
      <c r="J73" s="63" t="inlineStr">
        <is>
          <t>Health  Beauty</t>
        </is>
      </c>
      <c r="K73" s="62" t="n">
        <v>474</v>
      </c>
      <c r="L73" s="63" t="inlineStr">
        <is>
          <t>Black heads removal Rechargeable Electric Vacuum machine - black head remover</t>
        </is>
      </c>
      <c r="M73" s="79" t="inlineStr">
        <is>
          <t xml:space="preserve">Connected </t>
        </is>
      </c>
      <c r="N73" s="79" t="inlineStr">
        <is>
          <t>No</t>
        </is>
      </c>
      <c r="O73" s="79" t="n"/>
      <c r="P73" s="79" t="n"/>
      <c r="Q73" s="79" t="n"/>
      <c r="R73" s="79" t="n"/>
      <c r="S73" s="79" t="n"/>
      <c r="T73" s="79" t="n"/>
      <c r="U73" s="79" t="n"/>
      <c r="V73" s="79" t="n"/>
      <c r="W73" s="79" t="n"/>
      <c r="X73" s="79" t="n"/>
      <c r="Y73" s="79" t="n"/>
      <c r="Z73" s="79" t="n"/>
    </row>
    <row r="74">
      <c r="A74" s="77" t="n"/>
      <c r="B74" s="78" t="n">
        <v>25091677627790</v>
      </c>
      <c r="C74" s="58" t="n"/>
      <c r="D74" s="65" t="n"/>
      <c r="E74" s="62" t="n">
        <v>27183</v>
      </c>
      <c r="F74" s="63" t="inlineStr">
        <is>
          <t>Md Hasan Mahmud</t>
        </is>
      </c>
      <c r="G74" s="60" t="n">
        <v>1867338806</v>
      </c>
      <c r="H74" s="66" t="inlineStr">
        <is>
          <t>Noakhali</t>
        </is>
      </c>
      <c r="I74" s="63" t="inlineStr">
        <is>
          <t>Lifestyle</t>
        </is>
      </c>
      <c r="J74" s="63" t="inlineStr">
        <is>
          <t>Tools, DIY  Outdoor</t>
        </is>
      </c>
      <c r="K74" s="62" t="n">
        <v>125</v>
      </c>
      <c r="L74" s="63" t="inlineStr">
        <is>
          <t>Multifunctional Portable 32 in 1 Precision Screwdriver Tool Set made of ABS Material</t>
        </is>
      </c>
      <c r="M74" s="79" t="inlineStr">
        <is>
          <t xml:space="preserve">Connected </t>
        </is>
      </c>
      <c r="N74" s="79" t="inlineStr">
        <is>
          <t>Yes</t>
        </is>
      </c>
      <c r="O74" s="79" t="inlineStr">
        <is>
          <t>Delivery agent didn’t come</t>
        </is>
      </c>
      <c r="P74" s="79" t="n"/>
      <c r="Q74" s="79" t="n"/>
      <c r="R74" s="79" t="inlineStr">
        <is>
          <t>No</t>
        </is>
      </c>
      <c r="S74" s="79" t="inlineStr">
        <is>
          <t>No</t>
        </is>
      </c>
      <c r="T74" s="79" t="inlineStr">
        <is>
          <t>Didn’t try</t>
        </is>
      </c>
      <c r="U74" s="79" t="n"/>
      <c r="V74" s="79" t="n"/>
      <c r="W74" s="79" t="n">
        <v>3</v>
      </c>
      <c r="X74" s="79" t="n"/>
      <c r="Y74" s="79" t="inlineStr">
        <is>
          <t>Negative</t>
        </is>
      </c>
      <c r="Z74" s="79" t="n"/>
    </row>
    <row r="75">
      <c r="A75" s="77" t="n"/>
      <c r="B75" s="78" t="n">
        <v>25091789320562</v>
      </c>
      <c r="C75" s="58" t="n"/>
      <c r="D75" s="65" t="n"/>
      <c r="E75" s="62" t="n">
        <v>687474</v>
      </c>
      <c r="F75" s="63" t="inlineStr">
        <is>
          <t xml:space="preserve">Mr./Ms. </t>
        </is>
      </c>
      <c r="G75" s="60" t="n">
        <v>1854754270</v>
      </c>
      <c r="H75" s="66" t="inlineStr">
        <is>
          <t>Noakhali</t>
        </is>
      </c>
      <c r="I75" s="63" t="inlineStr">
        <is>
          <t>Fashion</t>
        </is>
      </c>
      <c r="J75" s="63" t="inlineStr">
        <is>
          <t>Bags and Travel</t>
        </is>
      </c>
      <c r="K75" s="62" t="n">
        <v>97</v>
      </c>
      <c r="L75" s="63" t="inlineStr">
        <is>
          <t>Avro Key Ring Holder Folding Key Ring For Bikers , Key Ring For Lockers Wallet For Men Cow Leather Money Bag</t>
        </is>
      </c>
      <c r="M75" s="79" t="inlineStr">
        <is>
          <t xml:space="preserve">Connected </t>
        </is>
      </c>
      <c r="N75" s="79" t="inlineStr">
        <is>
          <t>Yes</t>
        </is>
      </c>
      <c r="O75" s="79" t="inlineStr">
        <is>
          <t>Low Quality</t>
        </is>
      </c>
      <c r="P75" s="79" t="n"/>
      <c r="Q75" s="79" t="n"/>
      <c r="R75" s="79" t="inlineStr">
        <is>
          <t>Yes (in time)</t>
        </is>
      </c>
      <c r="S75" s="79" t="inlineStr">
        <is>
          <t>No</t>
        </is>
      </c>
      <c r="T75" s="79" t="inlineStr">
        <is>
          <t>Didn’t try</t>
        </is>
      </c>
      <c r="U75" s="79" t="n"/>
      <c r="V75" s="79" t="n"/>
      <c r="W75" s="79" t="n">
        <v>8</v>
      </c>
      <c r="X75" s="79" t="n"/>
      <c r="Y75" s="79" t="inlineStr">
        <is>
          <t>Neutral</t>
        </is>
      </c>
      <c r="Z75" s="79" t="n"/>
    </row>
    <row r="76">
      <c r="A76" s="77" t="n"/>
      <c r="B76" s="78" t="n">
        <v>25091614553717</v>
      </c>
      <c r="C76" s="58" t="n"/>
      <c r="D76" s="65" t="n"/>
      <c r="E76" s="62" t="n">
        <v>256262</v>
      </c>
      <c r="F76" s="63" t="inlineStr">
        <is>
          <t>MP Pritom Roy</t>
        </is>
      </c>
      <c r="G76" s="60" t="n">
        <v>1959459693</v>
      </c>
      <c r="H76" s="61" t="inlineStr">
        <is>
          <t>Nilphamari</t>
        </is>
      </c>
      <c r="I76" s="63" t="inlineStr">
        <is>
          <t>Electronics</t>
        </is>
      </c>
      <c r="J76" s="63" t="inlineStr">
        <is>
          <t>TV, Audio / Video, Gaming  Wearables</t>
        </is>
      </c>
      <c r="K76" s="62" t="n">
        <v>333</v>
      </c>
      <c r="L76" s="63" t="inlineStr">
        <is>
          <t>Black Edition Portable tripod 3110 / 3120 Multilevel Aluminum Alloy Video Cam Smartphone Tripod Stand</t>
        </is>
      </c>
      <c r="M76" s="79" t="inlineStr">
        <is>
          <t>Not Connected</t>
        </is>
      </c>
      <c r="N76" s="79" t="n"/>
      <c r="O76" s="79" t="n"/>
      <c r="P76" s="79" t="n"/>
      <c r="Q76" s="79" t="n"/>
      <c r="R76" s="79" t="n"/>
      <c r="S76" s="79" t="n"/>
      <c r="T76" s="79" t="n"/>
      <c r="U76" s="79" t="n"/>
      <c r="V76" s="79" t="n"/>
      <c r="W76" s="79" t="n"/>
      <c r="X76" s="79" t="n"/>
      <c r="Y76" s="79" t="n"/>
      <c r="Z76" s="79" t="n"/>
    </row>
    <row r="77">
      <c r="A77" s="77" t="n"/>
      <c r="B77" s="78" t="n">
        <v>25091761084633</v>
      </c>
      <c r="C77" s="58" t="n"/>
      <c r="D77" s="65" t="n"/>
      <c r="E77" s="62" t="n">
        <v>673881</v>
      </c>
      <c r="F77" s="63" t="inlineStr">
        <is>
          <t xml:space="preserve">Mr./Ms. </t>
        </is>
      </c>
      <c r="G77" s="60" t="n">
        <v>1607277114</v>
      </c>
      <c r="H77" s="61" t="inlineStr">
        <is>
          <t>Nilphamari</t>
        </is>
      </c>
      <c r="I77" s="63" t="inlineStr">
        <is>
          <t>Electronics</t>
        </is>
      </c>
      <c r="J77" s="63" t="inlineStr">
        <is>
          <t>TV, Audio / Video, Gaming  Wearables</t>
        </is>
      </c>
      <c r="K77" s="62" t="n">
        <v>540</v>
      </c>
      <c r="L77" s="63" t="inlineStr">
        <is>
          <t>Baseus Encok C17 Type-C In-Ear Earphone - Headphone - Best Quality Earphone</t>
        </is>
      </c>
      <c r="M77" s="79" t="inlineStr">
        <is>
          <t>Not Connected</t>
        </is>
      </c>
      <c r="N77" s="79" t="n"/>
      <c r="O77" s="79" t="n"/>
      <c r="P77" s="79" t="n"/>
      <c r="Q77" s="79" t="n"/>
      <c r="R77" s="79" t="n"/>
      <c r="S77" s="79" t="inlineStr">
        <is>
          <t>Yes (resolved)</t>
        </is>
      </c>
      <c r="T77" s="79" t="n"/>
      <c r="U77" s="79" t="n"/>
      <c r="V77" s="79" t="n"/>
      <c r="W77" s="79" t="n"/>
      <c r="X77" s="79" t="n"/>
      <c r="Y77" s="79" t="inlineStr">
        <is>
          <t>Positive</t>
        </is>
      </c>
      <c r="Z77" s="79" t="n"/>
    </row>
    <row r="78">
      <c r="A78" s="77" t="n"/>
      <c r="B78" s="78" t="n">
        <v>25091948163076</v>
      </c>
      <c r="C78" s="58" t="n"/>
      <c r="D78" s="65" t="n"/>
      <c r="E78" s="62" t="n">
        <v>639103</v>
      </c>
      <c r="F78" s="63" t="inlineStr">
        <is>
          <t xml:space="preserve">Mr./Ms. </t>
        </is>
      </c>
      <c r="G78" s="60" t="n">
        <v>1723892488</v>
      </c>
      <c r="H78" s="66" t="inlineStr">
        <is>
          <t>Nilphamari</t>
        </is>
      </c>
      <c r="I78" s="63" t="inlineStr">
        <is>
          <t>Electronics</t>
        </is>
      </c>
      <c r="J78" s="63" t="inlineStr">
        <is>
          <t>Cameras</t>
        </is>
      </c>
      <c r="K78" s="62" t="n">
        <v>184</v>
      </c>
      <c r="L78" s="63" t="inlineStr">
        <is>
          <t>Canon ET-74 Lens Hood for EF 70-200mm f/4.0L</t>
        </is>
      </c>
      <c r="M78" s="79" t="n"/>
      <c r="N78" s="79" t="n"/>
      <c r="O78" s="79" t="n"/>
      <c r="P78" s="79" t="n"/>
      <c r="Q78" s="79" t="n"/>
      <c r="R78" s="79" t="n"/>
      <c r="S78" s="79" t="n"/>
      <c r="T78" s="79" t="n"/>
      <c r="U78" s="79" t="n"/>
      <c r="V78" s="79" t="n"/>
      <c r="W78" s="79" t="n"/>
      <c r="X78" s="79" t="n"/>
      <c r="Y78" s="79" t="n"/>
      <c r="Z78" s="79" t="n"/>
    </row>
    <row r="79">
      <c r="A79" s="77" t="n"/>
      <c r="B79" s="78" t="n">
        <v>25091999387096</v>
      </c>
      <c r="C79" s="58" t="n"/>
      <c r="D79" s="65" t="n"/>
      <c r="E79" s="62" t="n">
        <v>641461</v>
      </c>
      <c r="F79" s="63" t="inlineStr">
        <is>
          <t>Alamgir Hosin</t>
        </is>
      </c>
      <c r="G79" s="60" t="n">
        <v>1935297066</v>
      </c>
      <c r="H79" s="61" t="inlineStr">
        <is>
          <t>Nilphamari</t>
        </is>
      </c>
      <c r="I79" s="63" t="inlineStr">
        <is>
          <t>Lifestyle</t>
        </is>
      </c>
      <c r="J79" s="63" t="inlineStr">
        <is>
          <t>Tools, DIY  Outdoor</t>
        </is>
      </c>
      <c r="K79" s="62" t="n">
        <v>1139</v>
      </c>
      <c r="L79" s="63" t="inlineStr">
        <is>
          <t>600W DC 12V to AC 230V Solar Power Inverter</t>
        </is>
      </c>
      <c r="M79" s="79" t="n"/>
      <c r="N79" s="79" t="n"/>
      <c r="O79" s="79" t="n"/>
      <c r="P79" s="79" t="n"/>
      <c r="Q79" s="79" t="n"/>
      <c r="R79" s="79" t="n"/>
      <c r="S79" s="79" t="n"/>
      <c r="T79" s="79" t="n"/>
      <c r="U79" s="79" t="n"/>
      <c r="V79" s="79" t="n"/>
      <c r="W79" s="79" t="n"/>
      <c r="X79" s="79" t="n"/>
      <c r="Y79" s="79" t="n"/>
      <c r="Z79" s="79" t="n"/>
    </row>
    <row r="80">
      <c r="A80" s="77" t="n"/>
      <c r="B80" s="78" t="n">
        <v>25091795061171</v>
      </c>
      <c r="C80" s="58" t="n"/>
      <c r="D80" s="65" t="n"/>
      <c r="E80" s="62" t="n">
        <v>358619</v>
      </c>
      <c r="F80" s="63" t="inlineStr">
        <is>
          <t xml:space="preserve">MD Masud </t>
        </is>
      </c>
      <c r="G80" s="60" t="n">
        <v>1989372830</v>
      </c>
      <c r="H80" s="61" t="inlineStr">
        <is>
          <t>Netrakona</t>
        </is>
      </c>
      <c r="I80" s="63" t="inlineStr">
        <is>
          <t>Lifestyle</t>
        </is>
      </c>
      <c r="J80" s="63" t="inlineStr">
        <is>
          <t>Motors</t>
        </is>
      </c>
      <c r="K80" s="62" t="n">
        <v>600</v>
      </c>
      <c r="L80" s="63" t="inlineStr">
        <is>
          <t>2KW, 2.5KW, 168F, 170F, Generator Recoil Starter Assy (HEMAMOTOR)  Replace recoil starter gasoline/octane/petrol generator engine spare parts</t>
        </is>
      </c>
      <c r="M80" s="79" t="inlineStr">
        <is>
          <t xml:space="preserve">Connected </t>
        </is>
      </c>
      <c r="N80" s="79" t="inlineStr">
        <is>
          <t>Yes</t>
        </is>
      </c>
      <c r="O80" s="79" t="inlineStr">
        <is>
          <t>No one was home</t>
        </is>
      </c>
      <c r="P80" s="79" t="n"/>
      <c r="Q80" s="79" t="n"/>
      <c r="R80" s="79" t="inlineStr">
        <is>
          <t>Yes (in time)</t>
        </is>
      </c>
      <c r="S80" s="79" t="inlineStr">
        <is>
          <t>No</t>
        </is>
      </c>
      <c r="T80" s="79" t="inlineStr">
        <is>
          <t>Didn’t try</t>
        </is>
      </c>
      <c r="U80" s="79" t="n"/>
      <c r="V80" s="79" t="n"/>
      <c r="W80" s="79" t="n">
        <v>10</v>
      </c>
      <c r="X80" s="79" t="n"/>
      <c r="Y80" s="79" t="inlineStr">
        <is>
          <t>Positive</t>
        </is>
      </c>
      <c r="Z80" s="79" t="n"/>
    </row>
    <row r="81">
      <c r="A81" s="77" t="n"/>
      <c r="B81" s="78" t="n">
        <v>25091993659715</v>
      </c>
      <c r="C81" s="58" t="n"/>
      <c r="D81" s="65" t="n"/>
      <c r="E81" s="62" t="n">
        <v>689547</v>
      </c>
      <c r="F81" s="63" t="inlineStr">
        <is>
          <t xml:space="preserve">Md Jummon </t>
        </is>
      </c>
      <c r="G81" s="60" t="n">
        <v>1827223991</v>
      </c>
      <c r="H81" s="61" t="inlineStr">
        <is>
          <t>Netrakona</t>
        </is>
      </c>
      <c r="I81" s="63" t="inlineStr">
        <is>
          <t>Lifestyle</t>
        </is>
      </c>
      <c r="J81" s="63" t="inlineStr">
        <is>
          <t>Tools, DIY  Outdoor</t>
        </is>
      </c>
      <c r="K81" s="62" t="n">
        <v>428</v>
      </c>
      <c r="L81" s="63" t="inlineStr">
        <is>
          <t>220V 60W Adjustable Temperature Lead-Free Soldering Iron Kit - Electric Soldering Iron with Heating Core &amp; Tip</t>
        </is>
      </c>
      <c r="M81" s="79" t="n"/>
      <c r="N81" s="79" t="n"/>
      <c r="O81" s="79" t="n"/>
      <c r="P81" s="79" t="n"/>
      <c r="Q81" s="79" t="n"/>
      <c r="R81" s="79" t="n"/>
      <c r="S81" s="79" t="n"/>
      <c r="T81" s="79" t="n"/>
      <c r="U81" s="79" t="n"/>
      <c r="V81" s="79" t="n"/>
      <c r="W81" s="79" t="n"/>
      <c r="X81" s="79" t="n"/>
      <c r="Y81" s="79" t="n"/>
      <c r="Z81" s="79" t="n"/>
    </row>
    <row r="82">
      <c r="A82" s="77" t="n"/>
      <c r="B82" s="78" t="n">
        <v>25092312772503</v>
      </c>
      <c r="C82" s="58" t="n"/>
      <c r="D82" s="65" t="n"/>
      <c r="E82" s="62" t="n">
        <v>359834</v>
      </c>
      <c r="F82" s="63" t="inlineStr">
        <is>
          <t xml:space="preserve">Mr./Ms. </t>
        </is>
      </c>
      <c r="G82" s="60" t="n">
        <v>1980364718</v>
      </c>
      <c r="H82" s="61" t="inlineStr">
        <is>
          <t>Netrakona</t>
        </is>
      </c>
      <c r="I82" s="63" t="inlineStr">
        <is>
          <t>Lifestyle</t>
        </is>
      </c>
      <c r="J82" s="63" t="inlineStr">
        <is>
          <t>Tools, DIY  Outdoor</t>
        </is>
      </c>
      <c r="K82" s="62" t="n">
        <v>883</v>
      </c>
      <c r="L82" s="63" t="inlineStr">
        <is>
          <t>Mini Router UPS Board 52W V3</t>
        </is>
      </c>
      <c r="M82" s="79" t="n"/>
      <c r="N82" s="79" t="n"/>
      <c r="O82" s="79" t="n"/>
      <c r="P82" s="79" t="n"/>
      <c r="Q82" s="79" t="n"/>
      <c r="R82" s="79" t="n"/>
      <c r="S82" s="79" t="n"/>
      <c r="T82" s="79" t="n"/>
      <c r="U82" s="79" t="n"/>
      <c r="V82" s="79" t="n"/>
      <c r="W82" s="79" t="n"/>
      <c r="X82" s="79" t="n"/>
      <c r="Y82" s="79" t="n"/>
      <c r="Z82" s="79" t="n"/>
    </row>
    <row r="83">
      <c r="A83" s="77" t="n"/>
      <c r="B83" s="78" t="n">
        <v>25092416245199</v>
      </c>
      <c r="C83" s="58" t="n"/>
      <c r="D83" s="65" t="n"/>
      <c r="E83" s="62" t="n">
        <v>520140</v>
      </c>
      <c r="F83" s="63" t="inlineStr">
        <is>
          <t xml:space="preserve">Mr./Ms. </t>
        </is>
      </c>
      <c r="G83" s="60" t="n">
        <v>1911608854</v>
      </c>
      <c r="H83" s="61" t="inlineStr">
        <is>
          <t>Netrakona</t>
        </is>
      </c>
      <c r="I83" s="63" t="inlineStr">
        <is>
          <t>Fashion</t>
        </is>
      </c>
      <c r="J83" s="63" t="inlineStr">
        <is>
          <t>Fashion</t>
        </is>
      </c>
      <c r="K83" s="62" t="n">
        <v>719</v>
      </c>
      <c r="L83" s="63" t="inlineStr">
        <is>
          <t>Exclusive Western Ladies Blazer Gown Tops denim style Kurti for women</t>
        </is>
      </c>
      <c r="M83" s="79" t="n"/>
      <c r="N83" s="79" t="n"/>
      <c r="O83" s="79" t="n"/>
      <c r="P83" s="79" t="n"/>
      <c r="Q83" s="79" t="n"/>
      <c r="R83" s="79" t="n"/>
      <c r="S83" s="79" t="n"/>
      <c r="T83" s="79" t="n"/>
      <c r="U83" s="79" t="n"/>
      <c r="V83" s="79" t="n"/>
      <c r="W83" s="79" t="n"/>
      <c r="X83" s="79" t="n"/>
      <c r="Y83" s="79" t="n"/>
      <c r="Z83" s="79" t="n"/>
    </row>
    <row r="84">
      <c r="A84" s="77" t="n"/>
      <c r="B84" s="78" t="n">
        <v>25091791038778</v>
      </c>
      <c r="C84" s="58" t="n"/>
      <c r="D84" s="65" t="n"/>
      <c r="E84" s="62" t="n">
        <v>697190</v>
      </c>
      <c r="F84" s="63" t="inlineStr">
        <is>
          <t xml:space="preserve">Mr./Ms. </t>
        </is>
      </c>
      <c r="G84" s="60" t="n">
        <v>1833977501</v>
      </c>
      <c r="H84" s="66" t="inlineStr">
        <is>
          <t>Natore</t>
        </is>
      </c>
      <c r="I84" s="63" t="inlineStr">
        <is>
          <t>Electronics</t>
        </is>
      </c>
      <c r="J84" s="63" t="inlineStr">
        <is>
          <t>TV, Audio / Video, Gaming  Wearables</t>
        </is>
      </c>
      <c r="K84" s="62" t="n">
        <v>1599</v>
      </c>
      <c r="L84" s="63" t="inlineStr">
        <is>
          <t>CA-TB21 2.1Channel BT Amplifier Board Original TPA3116D2 Chip 2x50W+100W HIFI Audio Power Amplifier Board ZK-TB21</t>
        </is>
      </c>
      <c r="M84" s="79" t="inlineStr">
        <is>
          <t>Not Connected</t>
        </is>
      </c>
      <c r="N84" s="79" t="n"/>
      <c r="O84" s="79" t="n"/>
      <c r="P84" s="79" t="n"/>
      <c r="Q84" s="79" t="n"/>
      <c r="R84" s="79" t="n"/>
      <c r="S84" s="79" t="n"/>
      <c r="T84" s="79" t="n"/>
      <c r="U84" s="79" t="n"/>
      <c r="V84" s="79" t="n"/>
      <c r="W84" s="79" t="n"/>
      <c r="X84" s="79" t="n"/>
      <c r="Y84" s="79" t="n"/>
      <c r="Z84" s="79" t="n"/>
    </row>
    <row r="85">
      <c r="A85" s="77" t="n"/>
      <c r="B85" s="78" t="n">
        <v>25091866103170</v>
      </c>
      <c r="C85" s="58" t="n"/>
      <c r="D85" s="65" t="n"/>
      <c r="E85" s="62" t="n">
        <v>213366</v>
      </c>
      <c r="F85" s="63" t="inlineStr">
        <is>
          <t xml:space="preserve">Alamgir Hossain </t>
        </is>
      </c>
      <c r="G85" s="60" t="n">
        <v>1740964132</v>
      </c>
      <c r="H85" s="66" t="inlineStr">
        <is>
          <t>Natore</t>
        </is>
      </c>
      <c r="I85" s="63" t="inlineStr">
        <is>
          <t>FMCG</t>
        </is>
      </c>
      <c r="J85" s="63" t="inlineStr">
        <is>
          <t>Health  Beauty</t>
        </is>
      </c>
      <c r="K85" s="62" t="n">
        <v>1545</v>
      </c>
      <c r="L85" s="63" t="inlineStr">
        <is>
          <t>Kemei Km-680A - 8 In 1 Grooming Kit Shaver And Trimmer For Men - Silver</t>
        </is>
      </c>
      <c r="M85" s="79" t="n"/>
      <c r="N85" s="79" t="n"/>
      <c r="O85" s="79" t="n"/>
      <c r="P85" s="79" t="n"/>
      <c r="Q85" s="79" t="n"/>
      <c r="R85" s="79" t="n"/>
      <c r="S85" s="79" t="n"/>
      <c r="T85" s="79" t="n"/>
      <c r="U85" s="79" t="n"/>
      <c r="V85" s="79" t="n"/>
      <c r="W85" s="79" t="n"/>
      <c r="X85" s="79" t="n"/>
      <c r="Y85" s="79" t="n"/>
      <c r="Z85" s="79" t="n"/>
    </row>
    <row r="86">
      <c r="A86" s="77" t="n"/>
      <c r="B86" s="78" t="n">
        <v>25091874567446</v>
      </c>
      <c r="C86" s="58" t="n"/>
      <c r="D86" s="65" t="n"/>
      <c r="E86" s="62" t="n">
        <v>617742</v>
      </c>
      <c r="F86" s="63" t="inlineStr">
        <is>
          <t xml:space="preserve">Mr./Ms. </t>
        </is>
      </c>
      <c r="G86" s="60" t="n">
        <v>1718314419</v>
      </c>
      <c r="H86" s="66" t="inlineStr">
        <is>
          <t>Natore</t>
        </is>
      </c>
      <c r="I86" s="63" t="inlineStr">
        <is>
          <t>Fashion</t>
        </is>
      </c>
      <c r="J86" s="63" t="inlineStr">
        <is>
          <t>Watches Sunglasses Jewellery</t>
        </is>
      </c>
      <c r="K86" s="62" t="n">
        <v>102</v>
      </c>
      <c r="L86" s="63" t="inlineStr">
        <is>
          <t>Wayfarer Sunglasses For Man - Sun Glass For Men</t>
        </is>
      </c>
      <c r="M86" s="79" t="n"/>
      <c r="N86" s="79" t="n"/>
      <c r="O86" s="79" t="n"/>
      <c r="P86" s="79" t="n"/>
      <c r="Q86" s="79" t="n"/>
      <c r="R86" s="79" t="n"/>
      <c r="S86" s="79" t="n"/>
      <c r="T86" s="79" t="n"/>
      <c r="U86" s="79" t="n"/>
      <c r="V86" s="79" t="n"/>
      <c r="W86" s="79" t="n"/>
      <c r="X86" s="79" t="n"/>
      <c r="Y86" s="79" t="n"/>
      <c r="Z86" s="79" t="n"/>
    </row>
    <row r="87">
      <c r="A87" s="77" t="n"/>
      <c r="B87" s="78" t="n">
        <v>25091926256413</v>
      </c>
      <c r="C87" s="58" t="n"/>
      <c r="D87" s="65" t="n"/>
      <c r="E87" s="62" t="n">
        <v>702943</v>
      </c>
      <c r="F87" s="63" t="inlineStr">
        <is>
          <t xml:space="preserve">MD basir </t>
        </is>
      </c>
      <c r="G87" s="60" t="n">
        <v>1791657666</v>
      </c>
      <c r="H87" s="66" t="inlineStr">
        <is>
          <t>Natore</t>
        </is>
      </c>
      <c r="I87" s="63" t="inlineStr">
        <is>
          <t>Lifestyle</t>
        </is>
      </c>
      <c r="J87" s="63" t="inlineStr">
        <is>
          <t>Tools, DIY  Outdoor</t>
        </is>
      </c>
      <c r="K87" s="62" t="n">
        <v>75</v>
      </c>
      <c r="L87" s="63" t="inlineStr">
        <is>
          <t>Dc-Dc Xl6009 Boost Adjustable Step Up</t>
        </is>
      </c>
      <c r="M87" s="79" t="n"/>
      <c r="N87" s="79" t="n"/>
      <c r="O87" s="79" t="n"/>
      <c r="P87" s="79" t="n"/>
      <c r="Q87" s="79" t="n"/>
      <c r="R87" s="79" t="n"/>
      <c r="S87" s="79" t="n"/>
      <c r="T87" s="79" t="n"/>
      <c r="U87" s="79" t="n"/>
      <c r="V87" s="79" t="n"/>
      <c r="W87" s="79" t="n"/>
      <c r="X87" s="79" t="n"/>
      <c r="Y87" s="79" t="n"/>
      <c r="Z87" s="79" t="n"/>
    </row>
    <row r="88">
      <c r="A88" s="77" t="n"/>
      <c r="B88" s="78" t="n">
        <v>25091617528974</v>
      </c>
      <c r="C88" s="58" t="n"/>
      <c r="D88" s="65" t="n"/>
      <c r="E88" s="62" t="n">
        <v>691652</v>
      </c>
      <c r="F88" s="63" t="inlineStr">
        <is>
          <t xml:space="preserve">Nerob Vai </t>
        </is>
      </c>
      <c r="G88" s="60" t="n">
        <v>1615042694</v>
      </c>
      <c r="H88" s="61" t="inlineStr">
        <is>
          <t>Narshingdi</t>
        </is>
      </c>
      <c r="I88" s="63" t="inlineStr">
        <is>
          <t>Electronics</t>
        </is>
      </c>
      <c r="J88" s="63" t="inlineStr">
        <is>
          <t>Mobiles  Tablets</t>
        </is>
      </c>
      <c r="K88" s="62" t="n">
        <v>119</v>
      </c>
      <c r="L88" s="63" t="inlineStr">
        <is>
          <t>New Design Xundd Shockproof Transparent Cover For Vivo Y19s 4G/Vivo Y29 5G</t>
        </is>
      </c>
      <c r="M88" s="79" t="inlineStr">
        <is>
          <t>Not Connected</t>
        </is>
      </c>
      <c r="N88" s="79" t="n"/>
      <c r="O88" s="79" t="n"/>
      <c r="P88" s="79" t="n"/>
      <c r="Q88" s="79" t="n"/>
      <c r="R88" s="79" t="n"/>
      <c r="S88" s="79" t="n"/>
      <c r="T88" s="79" t="n"/>
      <c r="U88" s="79" t="n"/>
      <c r="V88" s="79" t="n"/>
      <c r="W88" s="79" t="n"/>
      <c r="X88" s="79" t="n"/>
      <c r="Y88" s="79" t="n"/>
      <c r="Z88" s="79" t="n"/>
    </row>
    <row r="89">
      <c r="A89" s="77" t="n"/>
      <c r="B89" s="78" t="n">
        <v>25091632515964</v>
      </c>
      <c r="C89" s="63" t="inlineStr">
        <is>
          <t>Arefin</t>
        </is>
      </c>
      <c r="D89" s="65" t="n"/>
      <c r="E89" s="62" t="n">
        <v>475863</v>
      </c>
      <c r="F89" s="63" t="inlineStr">
        <is>
          <t xml:space="preserve">Ashik Arbin </t>
        </is>
      </c>
      <c r="G89" s="60" t="n">
        <v>1634165099</v>
      </c>
      <c r="H89" s="66" t="inlineStr">
        <is>
          <t>Narshingdi</t>
        </is>
      </c>
      <c r="I89" s="63" t="inlineStr">
        <is>
          <t>Lifestyle</t>
        </is>
      </c>
      <c r="J89" s="63" t="inlineStr">
        <is>
          <t>Motors</t>
        </is>
      </c>
      <c r="K89" s="62" t="n">
        <v>55</v>
      </c>
      <c r="L89" s="63" t="inlineStr">
        <is>
          <t>High Quality Micro Fiber Double Layer Towel for Bike/ Car Cleaning - 30*30cm</t>
        </is>
      </c>
      <c r="M89" s="79" t="inlineStr">
        <is>
          <t xml:space="preserve">Connected </t>
        </is>
      </c>
      <c r="N89" s="79" t="inlineStr">
        <is>
          <t>Yes</t>
        </is>
      </c>
      <c r="O89" s="79" t="inlineStr">
        <is>
          <t>I refused</t>
        </is>
      </c>
      <c r="P89" s="79" t="n"/>
      <c r="Q89" s="79" t="n"/>
      <c r="R89" s="79" t="inlineStr">
        <is>
          <t>Yes (in time)</t>
        </is>
      </c>
      <c r="S89" s="79" t="inlineStr">
        <is>
          <t>Yes (resolved)</t>
        </is>
      </c>
      <c r="T89" s="79" t="inlineStr">
        <is>
          <t>Not required</t>
        </is>
      </c>
      <c r="U89" s="79" t="n"/>
      <c r="V89" s="79" t="n"/>
      <c r="W89" s="79" t="n">
        <v>8</v>
      </c>
      <c r="X89" s="79" t="n"/>
      <c r="Y89" s="79" t="inlineStr">
        <is>
          <t>Positive</t>
        </is>
      </c>
      <c r="Z89" s="79" t="n"/>
    </row>
    <row r="90">
      <c r="A90" s="77" t="n"/>
      <c r="B90" s="78" t="n">
        <v>25091654639248</v>
      </c>
      <c r="C90" s="58" t="n"/>
      <c r="D90" s="65" t="n"/>
      <c r="E90" s="62" t="n">
        <v>151386</v>
      </c>
      <c r="F90" s="63" t="inlineStr">
        <is>
          <t xml:space="preserve">Fair bd </t>
        </is>
      </c>
      <c r="G90" s="60" t="n">
        <v>1647628377</v>
      </c>
      <c r="H90" s="66" t="inlineStr">
        <is>
          <t>Narshingdi</t>
        </is>
      </c>
      <c r="I90" s="63" t="inlineStr">
        <is>
          <t>FMCG</t>
        </is>
      </c>
      <c r="J90" s="63" t="inlineStr">
        <is>
          <t>Groceries</t>
        </is>
      </c>
      <c r="K90" s="62" t="n">
        <v>625</v>
      </c>
      <c r="L90" s="63" t="inlineStr">
        <is>
          <t>Starship Full Cream Milk Powder - 1 Kg</t>
        </is>
      </c>
      <c r="M90" s="79" t="inlineStr">
        <is>
          <t xml:space="preserve">Connected </t>
        </is>
      </c>
      <c r="N90" s="79" t="inlineStr">
        <is>
          <t>Yes</t>
        </is>
      </c>
      <c r="O90" s="79" t="inlineStr">
        <is>
          <t>I refused</t>
        </is>
      </c>
      <c r="P90" s="79" t="inlineStr">
        <is>
          <t>Wanted to buy more products that's why rejected</t>
        </is>
      </c>
      <c r="Q90" s="79" t="n"/>
      <c r="R90" s="79" t="inlineStr">
        <is>
          <t>Yes (in time)</t>
        </is>
      </c>
      <c r="S90" s="79" t="inlineStr">
        <is>
          <t>Yes (resolved)</t>
        </is>
      </c>
      <c r="T90" s="79" t="inlineStr">
        <is>
          <t>Not required</t>
        </is>
      </c>
      <c r="U90" s="79" t="n"/>
      <c r="V90" s="79" t="n"/>
      <c r="W90" s="79" t="n">
        <v>9</v>
      </c>
      <c r="X90" s="79" t="inlineStr">
        <is>
          <t>Overall good.</t>
        </is>
      </c>
      <c r="Y90" s="79" t="inlineStr">
        <is>
          <t>Positive</t>
        </is>
      </c>
      <c r="Z90" s="79" t="n"/>
    </row>
    <row r="91">
      <c r="A91" s="77" t="n"/>
      <c r="B91" s="78" t="n">
        <v>25091656139779</v>
      </c>
      <c r="C91" s="58" t="n"/>
      <c r="D91" s="65" t="n"/>
      <c r="E91" s="62" t="n">
        <v>690539</v>
      </c>
      <c r="F91" s="63" t="inlineStr">
        <is>
          <t xml:space="preserve">Anisur Rahman Onik </t>
        </is>
      </c>
      <c r="G91" s="60" t="n">
        <v>1313069468</v>
      </c>
      <c r="H91" s="61" t="inlineStr">
        <is>
          <t>Narshingdi</t>
        </is>
      </c>
      <c r="I91" s="63" t="inlineStr">
        <is>
          <t>Lifestyle</t>
        </is>
      </c>
      <c r="J91" s="63" t="inlineStr">
        <is>
          <t>Motors</t>
        </is>
      </c>
      <c r="K91" s="62" t="n">
        <v>219</v>
      </c>
      <c r="L91" s="63" t="inlineStr">
        <is>
          <t>Bike or car mini driving fog light 2 colour white &amp; yellow 1pcs</t>
        </is>
      </c>
      <c r="M91" s="79" t="inlineStr">
        <is>
          <t xml:space="preserve">Connected </t>
        </is>
      </c>
      <c r="N91" s="79" t="inlineStr">
        <is>
          <t>Yes</t>
        </is>
      </c>
      <c r="O91" s="79" t="inlineStr">
        <is>
          <t>I refused</t>
        </is>
      </c>
      <c r="P91" s="79" t="n"/>
      <c r="Q91" s="79" t="n"/>
      <c r="R91" s="79" t="inlineStr">
        <is>
          <t>Yes (in time)</t>
        </is>
      </c>
      <c r="S91" s="79" t="inlineStr">
        <is>
          <t>No</t>
        </is>
      </c>
      <c r="T91" s="79" t="inlineStr">
        <is>
          <t>Didn’t try</t>
        </is>
      </c>
      <c r="U91" s="79" t="n"/>
      <c r="V91" s="79" t="n"/>
      <c r="W91" s="79" t="n">
        <v>5</v>
      </c>
      <c r="X91" s="79" t="n"/>
      <c r="Y91" s="79" t="inlineStr">
        <is>
          <t>Neutral</t>
        </is>
      </c>
      <c r="Z91" s="79" t="n"/>
    </row>
    <row r="92">
      <c r="A92" s="77" t="n"/>
      <c r="B92" s="78" t="n">
        <v>25091629775612</v>
      </c>
      <c r="C92" s="63" t="inlineStr">
        <is>
          <t>Arefin</t>
        </is>
      </c>
      <c r="D92" s="65" t="n"/>
      <c r="E92" s="62" t="n">
        <v>108296</v>
      </c>
      <c r="F92" s="63" t="inlineStr">
        <is>
          <t xml:space="preserve">SHAKIL TELECOM </t>
        </is>
      </c>
      <c r="G92" s="60" t="n">
        <v>1719903576</v>
      </c>
      <c r="H92" s="66" t="inlineStr">
        <is>
          <t>Narayanganj</t>
        </is>
      </c>
      <c r="I92" s="63" t="inlineStr">
        <is>
          <t>FMCG</t>
        </is>
      </c>
      <c r="J92" s="63" t="inlineStr">
        <is>
          <t>Medicine</t>
        </is>
      </c>
      <c r="K92" s="62" t="n">
        <v>540</v>
      </c>
      <c r="L92" s="63" t="inlineStr">
        <is>
          <t>Hijama Cup set</t>
        </is>
      </c>
      <c r="M92" s="79" t="inlineStr">
        <is>
          <t>Not Connected</t>
        </is>
      </c>
      <c r="N92" s="79" t="n"/>
      <c r="O92" s="79" t="n"/>
      <c r="P92" s="79" t="n"/>
      <c r="Q92" s="79" t="n"/>
      <c r="R92" s="79" t="n"/>
      <c r="S92" s="79" t="n"/>
      <c r="T92" s="79" t="n"/>
      <c r="U92" s="79" t="n"/>
      <c r="V92" s="79" t="n"/>
      <c r="W92" s="79" t="n"/>
      <c r="X92" s="79" t="n"/>
      <c r="Y92" s="79" t="n"/>
      <c r="Z92" s="79" t="n"/>
    </row>
    <row r="93">
      <c r="A93" s="77" t="n"/>
      <c r="B93" s="78" t="n">
        <v>25091814136926</v>
      </c>
      <c r="C93" s="58" t="n"/>
      <c r="D93" s="65" t="n"/>
      <c r="E93" s="62" t="n">
        <v>5755</v>
      </c>
      <c r="F93" s="63" t="inlineStr">
        <is>
          <t>promit mitra</t>
        </is>
      </c>
      <c r="G93" s="60" t="n">
        <v>1322274554</v>
      </c>
      <c r="H93" s="61" t="inlineStr">
        <is>
          <t>Narayanganj</t>
        </is>
      </c>
      <c r="I93" s="63" t="inlineStr">
        <is>
          <t>Electronics</t>
        </is>
      </c>
      <c r="J93" s="63" t="inlineStr">
        <is>
          <t>Computers  Laptops</t>
        </is>
      </c>
      <c r="K93" s="62" t="n">
        <v>437</v>
      </c>
      <c r="L93" s="63" t="inlineStr">
        <is>
          <t>Adata DDR3 4GB 1600MHz Desktop RAM</t>
        </is>
      </c>
      <c r="M93" s="79" t="inlineStr">
        <is>
          <t xml:space="preserve">Connected </t>
        </is>
      </c>
      <c r="N93" s="79" t="inlineStr">
        <is>
          <t>Yes</t>
        </is>
      </c>
      <c r="O93" s="79" t="inlineStr">
        <is>
          <t>Other</t>
        </is>
      </c>
      <c r="P93" s="79" t="inlineStr">
        <is>
          <t xml:space="preserve">Ordered by mistake </t>
        </is>
      </c>
      <c r="Q93" s="79" t="n"/>
      <c r="R93" s="79" t="inlineStr">
        <is>
          <t>Yes (in time)</t>
        </is>
      </c>
      <c r="S93" s="79" t="inlineStr">
        <is>
          <t>No</t>
        </is>
      </c>
      <c r="T93" s="79" t="inlineStr">
        <is>
          <t>Didn’t try</t>
        </is>
      </c>
      <c r="U93" s="79" t="n"/>
      <c r="V93" s="79" t="n"/>
      <c r="W93" s="79" t="n">
        <v>8</v>
      </c>
      <c r="X93" s="79" t="n"/>
      <c r="Y93" s="79" t="inlineStr">
        <is>
          <t>Neutral</t>
        </is>
      </c>
      <c r="Z93" s="79" t="n"/>
    </row>
    <row r="94">
      <c r="A94" s="77" t="n"/>
      <c r="B94" s="78" t="n">
        <v>25091881821932</v>
      </c>
      <c r="C94" s="58" t="n"/>
      <c r="D94" s="65" t="n"/>
      <c r="E94" s="62" t="n">
        <v>698459</v>
      </c>
      <c r="F94" s="63" t="inlineStr">
        <is>
          <t xml:space="preserve">MD Golap </t>
        </is>
      </c>
      <c r="G94" s="60" t="n">
        <v>1629841748</v>
      </c>
      <c r="H94" s="66" t="inlineStr">
        <is>
          <t>Narayanganj</t>
        </is>
      </c>
      <c r="I94" s="63" t="inlineStr">
        <is>
          <t>Lifestyle</t>
        </is>
      </c>
      <c r="J94" s="63" t="inlineStr">
        <is>
          <t>Motors</t>
        </is>
      </c>
      <c r="K94" s="62" t="n">
        <v>571</v>
      </c>
      <c r="L94" s="63" t="inlineStr">
        <is>
          <t>Electric Ultra Loud Air Snail Horn Magic 18 Sounds For Motorcycle or Car</t>
        </is>
      </c>
      <c r="M94" s="79" t="n"/>
      <c r="N94" s="79" t="n"/>
      <c r="O94" s="79" t="n"/>
      <c r="P94" s="79" t="n"/>
      <c r="Q94" s="79" t="n"/>
      <c r="R94" s="79" t="n"/>
      <c r="S94" s="79" t="n"/>
      <c r="T94" s="79" t="n"/>
      <c r="U94" s="79" t="n"/>
      <c r="V94" s="79" t="n"/>
      <c r="W94" s="79" t="n"/>
      <c r="X94" s="79" t="n"/>
      <c r="Y94" s="79" t="n"/>
      <c r="Z94" s="79" t="n"/>
    </row>
    <row r="95">
      <c r="A95" s="77" t="n"/>
      <c r="B95" s="78" t="n">
        <v>25091910017970</v>
      </c>
      <c r="C95" s="58" t="n"/>
      <c r="D95" s="65" t="n"/>
      <c r="E95" s="62" t="n">
        <v>100255</v>
      </c>
      <c r="F95" s="63" t="inlineStr">
        <is>
          <t xml:space="preserve">Sizan Ahmed </t>
        </is>
      </c>
      <c r="G95" s="60" t="n">
        <v>1842050317</v>
      </c>
      <c r="H95" s="61" t="inlineStr">
        <is>
          <t>Narayanganj</t>
        </is>
      </c>
      <c r="I95" s="63" t="inlineStr">
        <is>
          <t>Lifestyle</t>
        </is>
      </c>
      <c r="J95" s="63" t="inlineStr">
        <is>
          <t>Motors</t>
        </is>
      </c>
      <c r="K95" s="62" t="n">
        <v>12918</v>
      </c>
      <c r="L95" s="63" t="inlineStr">
        <is>
          <t>Mobil 1 5W-30 Full Synthetic Car engine oil - 4 Liter</t>
        </is>
      </c>
      <c r="M95" s="79" t="n"/>
      <c r="N95" s="79" t="n"/>
      <c r="O95" s="79" t="n"/>
      <c r="P95" s="79" t="n"/>
      <c r="Q95" s="79" t="n"/>
      <c r="R95" s="79" t="n"/>
      <c r="S95" s="79" t="n"/>
      <c r="T95" s="79" t="n"/>
      <c r="U95" s="79" t="n"/>
      <c r="V95" s="79" t="n"/>
      <c r="W95" s="79" t="n"/>
      <c r="X95" s="79" t="n"/>
      <c r="Y95" s="79" t="n"/>
      <c r="Z95" s="79" t="n"/>
    </row>
    <row r="96">
      <c r="A96" s="77" t="n"/>
      <c r="B96" s="78" t="n">
        <v>25092567054771</v>
      </c>
      <c r="C96" s="58" t="n"/>
      <c r="D96" s="65" t="n"/>
      <c r="E96" s="62" t="n">
        <v>723488</v>
      </c>
      <c r="F96" s="63" t="inlineStr">
        <is>
          <t xml:space="preserve">Prodip Saha </t>
        </is>
      </c>
      <c r="G96" s="60" t="n">
        <v>1871430443</v>
      </c>
      <c r="H96" s="61" t="inlineStr">
        <is>
          <t>Narail</t>
        </is>
      </c>
      <c r="I96" s="63" t="inlineStr">
        <is>
          <t>Lifestyle</t>
        </is>
      </c>
      <c r="J96" s="63" t="inlineStr">
        <is>
          <t>Sports  Outdoors</t>
        </is>
      </c>
      <c r="K96" s="62" t="n">
        <v>1290</v>
      </c>
      <c r="L96" s="63" t="inlineStr">
        <is>
          <t>Lotto super light global 4L plus running series - lotto shoes for men</t>
        </is>
      </c>
      <c r="M96" s="79" t="n"/>
      <c r="N96" s="79" t="n"/>
      <c r="O96" s="79" t="n"/>
      <c r="P96" s="79" t="n"/>
      <c r="Q96" s="79" t="n"/>
      <c r="R96" s="79" t="n"/>
      <c r="S96" s="79" t="n"/>
      <c r="T96" s="79" t="n"/>
      <c r="U96" s="79" t="n"/>
      <c r="V96" s="79" t="n"/>
      <c r="W96" s="79" t="n"/>
      <c r="X96" s="79" t="n"/>
      <c r="Y96" s="79" t="n"/>
      <c r="Z96" s="79" t="n"/>
    </row>
    <row r="97">
      <c r="A97" s="77" t="n"/>
      <c r="B97" s="78" t="n">
        <v>25092760364441</v>
      </c>
      <c r="C97" s="58" t="n"/>
      <c r="D97" s="65" t="n"/>
      <c r="E97" s="62" t="n">
        <v>636715</v>
      </c>
      <c r="F97" s="63" t="inlineStr">
        <is>
          <t xml:space="preserve">Bismillah Sweets </t>
        </is>
      </c>
      <c r="G97" s="60" t="n">
        <v>1922712200</v>
      </c>
      <c r="H97" s="66" t="inlineStr">
        <is>
          <t>Narail</t>
        </is>
      </c>
      <c r="I97" s="63" t="inlineStr">
        <is>
          <t>Electronics</t>
        </is>
      </c>
      <c r="J97" s="63" t="inlineStr">
        <is>
          <t>TV, Audio / Video, Gaming  Wearables</t>
        </is>
      </c>
      <c r="K97" s="62" t="n">
        <v>1790</v>
      </c>
      <c r="L97" s="63" t="inlineStr">
        <is>
          <t>Oraimo Watch 5 Lite 2.01" HD IP68 Smart Watch</t>
        </is>
      </c>
      <c r="M97" s="79" t="n"/>
      <c r="N97" s="79" t="n"/>
      <c r="O97" s="79" t="n"/>
      <c r="P97" s="79" t="n"/>
      <c r="Q97" s="79" t="n"/>
      <c r="R97" s="79" t="n"/>
      <c r="S97" s="79" t="n"/>
      <c r="T97" s="79" t="n"/>
      <c r="U97" s="79" t="n"/>
      <c r="V97" s="79" t="n"/>
      <c r="W97" s="79" t="n"/>
      <c r="X97" s="79" t="n"/>
      <c r="Y97" s="79" t="n"/>
      <c r="Z97" s="79" t="n"/>
    </row>
    <row r="98">
      <c r="A98" s="77" t="n"/>
      <c r="B98" s="78" t="n">
        <v>25091743339783</v>
      </c>
      <c r="C98" s="58" t="n"/>
      <c r="D98" s="65" t="n"/>
      <c r="E98" s="62" t="n">
        <v>694748</v>
      </c>
      <c r="F98" s="63" t="inlineStr">
        <is>
          <t>Par Vez Hossen prince</t>
        </is>
      </c>
      <c r="G98" s="60" t="n">
        <v>1722724574</v>
      </c>
      <c r="H98" s="66" t="inlineStr">
        <is>
          <t>Naogaon</t>
        </is>
      </c>
      <c r="I98" s="63" t="inlineStr">
        <is>
          <t>FMCG</t>
        </is>
      </c>
      <c r="J98" s="63" t="inlineStr">
        <is>
          <t>Health  Beauty</t>
        </is>
      </c>
      <c r="K98" s="62" t="n">
        <v>859</v>
      </c>
      <c r="L98" s="63" t="inlineStr">
        <is>
          <t>Kemei KM-6330 (3 in 1) Shaver, Hair ,Beard And Nose Trimmer</t>
        </is>
      </c>
      <c r="M98" s="79" t="inlineStr">
        <is>
          <t xml:space="preserve">Connected </t>
        </is>
      </c>
      <c r="N98" s="79" t="inlineStr">
        <is>
          <t>Yes</t>
        </is>
      </c>
      <c r="O98" s="79" t="inlineStr">
        <is>
          <t>Other</t>
        </is>
      </c>
      <c r="P98" s="79" t="n"/>
      <c r="Q98" s="79" t="n"/>
      <c r="R98" s="79" t="inlineStr">
        <is>
          <t>Yes (in time)</t>
        </is>
      </c>
      <c r="S98" s="79" t="inlineStr">
        <is>
          <t>No</t>
        </is>
      </c>
      <c r="T98" s="79" t="inlineStr">
        <is>
          <t>Didn’t try</t>
        </is>
      </c>
      <c r="U98" s="79" t="n"/>
      <c r="V98" s="79" t="n"/>
      <c r="W98" s="79" t="n">
        <v>9</v>
      </c>
      <c r="X98" s="79" t="n"/>
      <c r="Y98" s="79" t="inlineStr">
        <is>
          <t>Positive</t>
        </is>
      </c>
      <c r="Z98" s="79" t="n"/>
    </row>
    <row r="99">
      <c r="A99" s="77" t="n"/>
      <c r="B99" s="78" t="n">
        <v>25092063285828</v>
      </c>
      <c r="C99" s="58" t="n"/>
      <c r="D99" s="65" t="n"/>
      <c r="E99" s="62" t="n">
        <v>683648</v>
      </c>
      <c r="F99" s="63" t="inlineStr">
        <is>
          <t xml:space="preserve">Md Sajjad </t>
        </is>
      </c>
      <c r="G99" s="60" t="n">
        <v>1608449157</v>
      </c>
      <c r="H99" s="61" t="inlineStr">
        <is>
          <t>Naogaon</t>
        </is>
      </c>
      <c r="I99" s="63" t="inlineStr">
        <is>
          <t>Fashion</t>
        </is>
      </c>
      <c r="J99" s="63" t="inlineStr">
        <is>
          <t>Watches Sunglasses Jewellery</t>
        </is>
      </c>
      <c r="K99" s="62" t="n">
        <v>95</v>
      </c>
      <c r="L99" s="63" t="inlineStr">
        <is>
          <t>Trendsetter -Upscale Living -New Trendy Look Very Stylish Black Sunglass for Men 2022- Inventive Choice Qualityful - Easy To care and Longive</t>
        </is>
      </c>
      <c r="M99" s="79" t="n"/>
      <c r="N99" s="79" t="n"/>
      <c r="O99" s="79" t="n"/>
      <c r="P99" s="79" t="n"/>
      <c r="Q99" s="79" t="n"/>
      <c r="R99" s="79" t="n"/>
      <c r="S99" s="79" t="n"/>
      <c r="T99" s="79" t="n"/>
      <c r="U99" s="79" t="n"/>
      <c r="V99" s="79" t="n"/>
      <c r="W99" s="79" t="n"/>
      <c r="X99" s="79" t="n"/>
      <c r="Y99" s="79" t="n"/>
      <c r="Z99" s="79" t="n"/>
    </row>
    <row r="100">
      <c r="A100" s="77" t="n"/>
      <c r="B100" s="78" t="n">
        <v>25092477474691</v>
      </c>
      <c r="C100" s="58" t="n"/>
      <c r="D100" s="65" t="n"/>
      <c r="E100" s="62" t="n">
        <v>685613</v>
      </c>
      <c r="F100" s="63" t="inlineStr">
        <is>
          <t xml:space="preserve">Mr./Ms. </t>
        </is>
      </c>
      <c r="G100" s="60" t="n">
        <v>1733482755</v>
      </c>
      <c r="H100" s="61" t="inlineStr">
        <is>
          <t>Naogaon</t>
        </is>
      </c>
      <c r="I100" s="63" t="inlineStr">
        <is>
          <t>Lifestyle</t>
        </is>
      </c>
      <c r="J100" s="63" t="inlineStr">
        <is>
          <t>Tools, DIY  Outdoor</t>
        </is>
      </c>
      <c r="K100" s="62" t="n">
        <v>449</v>
      </c>
      <c r="L100" s="63" t="inlineStr">
        <is>
          <t>Mosquito Killer Electric Bat with Rechargeable Battery</t>
        </is>
      </c>
      <c r="M100" s="79" t="n"/>
      <c r="N100" s="79" t="n"/>
      <c r="O100" s="79" t="n"/>
      <c r="P100" s="79" t="n"/>
      <c r="Q100" s="79" t="n"/>
      <c r="R100" s="79" t="n"/>
      <c r="S100" s="79" t="n"/>
      <c r="T100" s="79" t="n"/>
      <c r="U100" s="79" t="n"/>
      <c r="V100" s="79" t="n"/>
      <c r="W100" s="79" t="n"/>
      <c r="X100" s="79" t="n"/>
      <c r="Y100" s="79" t="n"/>
      <c r="Z100" s="79" t="n"/>
    </row>
    <row r="101">
      <c r="A101" s="77" t="n"/>
      <c r="B101" s="78" t="n">
        <v>25092513206602</v>
      </c>
      <c r="C101" s="58" t="n"/>
      <c r="D101" s="65" t="n"/>
      <c r="E101" s="62" t="n">
        <v>722631</v>
      </c>
      <c r="F101" s="63" t="inlineStr">
        <is>
          <t xml:space="preserve">Sohel Rana </t>
        </is>
      </c>
      <c r="G101" s="60" t="n">
        <v>1724498301</v>
      </c>
      <c r="H101" s="61" t="inlineStr">
        <is>
          <t>Naogaon</t>
        </is>
      </c>
      <c r="I101" s="63" t="inlineStr">
        <is>
          <t>Electronics</t>
        </is>
      </c>
      <c r="J101" s="63" t="inlineStr">
        <is>
          <t>TV, Audio / Video, Gaming  Wearables</t>
        </is>
      </c>
      <c r="K101" s="62" t="n">
        <v>1650</v>
      </c>
      <c r="L101" s="63" t="inlineStr">
        <is>
          <t>TX9 Pro 10K Ultra HD 8GB RAM + 128GB ROM Android 13 Smart TV Box</t>
        </is>
      </c>
      <c r="M101" s="79" t="n"/>
      <c r="N101" s="79" t="n"/>
      <c r="O101" s="79" t="n"/>
      <c r="P101" s="79" t="n"/>
      <c r="Q101" s="79" t="n"/>
      <c r="R101" s="79" t="n"/>
      <c r="S101" s="79" t="n"/>
      <c r="T101" s="79" t="n"/>
      <c r="U101" s="79" t="n"/>
      <c r="V101" s="79" t="n"/>
      <c r="W101" s="79" t="n"/>
      <c r="X101" s="79" t="n"/>
      <c r="Y101" s="79" t="n"/>
      <c r="Z101" s="79" t="n"/>
    </row>
    <row r="102">
      <c r="A102" s="77" t="n"/>
      <c r="B102" s="78" t="n">
        <v>25091624030302</v>
      </c>
      <c r="C102" s="63" t="inlineStr">
        <is>
          <t>Arefin</t>
        </is>
      </c>
      <c r="D102" s="65" t="n"/>
      <c r="E102" s="62" t="n">
        <v>191768</v>
      </c>
      <c r="F102" s="63" t="inlineStr">
        <is>
          <t xml:space="preserve">RR Rashed Raad </t>
        </is>
      </c>
      <c r="G102" s="60" t="n">
        <v>1722210097</v>
      </c>
      <c r="H102" s="66" t="inlineStr">
        <is>
          <t>Mymensingh</t>
        </is>
      </c>
      <c r="I102" s="63" t="inlineStr">
        <is>
          <t>Electronics</t>
        </is>
      </c>
      <c r="J102" s="63" t="inlineStr">
        <is>
          <t>TV, Audio / Video, Gaming  Wearables</t>
        </is>
      </c>
      <c r="K102" s="62" t="n">
        <v>1399</v>
      </c>
      <c r="L102" s="63" t="inlineStr">
        <is>
          <t>COLMI P71 Bluetooth Calling Smart Watch</t>
        </is>
      </c>
      <c r="M102" s="79" t="inlineStr">
        <is>
          <t>Not Connected</t>
        </is>
      </c>
      <c r="N102" s="79" t="n"/>
      <c r="O102" s="79" t="n"/>
      <c r="P102" s="79" t="n"/>
      <c r="Q102" s="79" t="n"/>
      <c r="R102" s="79" t="n"/>
      <c r="S102" s="79" t="n"/>
      <c r="T102" s="79" t="n"/>
      <c r="U102" s="79" t="n"/>
      <c r="V102" s="79" t="n"/>
      <c r="W102" s="79" t="n"/>
      <c r="X102" s="79" t="n"/>
      <c r="Y102" s="79" t="n"/>
      <c r="Z102" s="79" t="n"/>
    </row>
    <row r="103">
      <c r="A103" s="77" t="n"/>
      <c r="B103" s="78" t="n">
        <v>25091643708900</v>
      </c>
      <c r="C103" s="63" t="inlineStr">
        <is>
          <t>Arefin</t>
        </is>
      </c>
      <c r="D103" s="65" t="n"/>
      <c r="E103" s="62" t="n">
        <v>623482</v>
      </c>
      <c r="F103" s="63" t="inlineStr">
        <is>
          <t xml:space="preserve">Ssc Sidhu </t>
        </is>
      </c>
      <c r="G103" s="60" t="n">
        <v>1831989063</v>
      </c>
      <c r="H103" s="61" t="inlineStr">
        <is>
          <t>Mymensingh</t>
        </is>
      </c>
      <c r="I103" s="63" t="inlineStr">
        <is>
          <t>FMCG</t>
        </is>
      </c>
      <c r="J103" s="63" t="inlineStr">
        <is>
          <t>Health  Beauty</t>
        </is>
      </c>
      <c r="K103" s="62" t="n">
        <v>632</v>
      </c>
      <c r="L103" s="63" t="inlineStr">
        <is>
          <t>Vintage T9 Duel Battery Hair Trimmer Electric Hair Clipper Haircut Trimmer For Men</t>
        </is>
      </c>
      <c r="M103" s="79" t="inlineStr">
        <is>
          <t>Not Connected</t>
        </is>
      </c>
      <c r="N103" s="79" t="n"/>
      <c r="O103" s="79" t="n"/>
      <c r="P103" s="79" t="n"/>
      <c r="Q103" s="79" t="n"/>
      <c r="R103" s="79" t="n"/>
      <c r="S103" s="79" t="n"/>
      <c r="T103" s="79" t="n"/>
      <c r="U103" s="79" t="n"/>
      <c r="V103" s="79" t="n"/>
      <c r="W103" s="79" t="n"/>
      <c r="X103" s="79" t="n"/>
      <c r="Y103" s="79" t="n"/>
      <c r="Z103" s="79" t="n"/>
    </row>
    <row r="104">
      <c r="A104" s="77" t="n"/>
      <c r="B104" s="78" t="n">
        <v>25091673377952</v>
      </c>
      <c r="C104" s="58" t="n"/>
      <c r="D104" s="65" t="n"/>
      <c r="E104" s="62" t="n">
        <v>629274</v>
      </c>
      <c r="F104" s="63" t="inlineStr">
        <is>
          <t xml:space="preserve">Mr./Ms. </t>
        </is>
      </c>
      <c r="G104" s="60" t="n">
        <v>1971181588</v>
      </c>
      <c r="H104" s="61" t="inlineStr">
        <is>
          <t>Mymensingh</t>
        </is>
      </c>
      <c r="I104" s="63" t="inlineStr">
        <is>
          <t>Fashion</t>
        </is>
      </c>
      <c r="J104" s="63" t="inlineStr">
        <is>
          <t>Watches Sunglasses Jewellery</t>
        </is>
      </c>
      <c r="K104" s="62" t="n">
        <v>383</v>
      </c>
      <c r="L104" s="63" t="inlineStr">
        <is>
          <t>2023 Fashion Mens Business Watches Luxury Stainless Steel Mesh Belt Quartz Wrist Watch Luminous Clock Men Casual Calendar Watch</t>
        </is>
      </c>
      <c r="M104" s="79" t="inlineStr">
        <is>
          <t>Not Connected</t>
        </is>
      </c>
      <c r="N104" s="79" t="n"/>
      <c r="O104" s="79" t="n"/>
      <c r="P104" s="79" t="n"/>
      <c r="Q104" s="79" t="n"/>
      <c r="R104" s="79" t="n"/>
      <c r="S104" s="79" t="n"/>
      <c r="T104" s="79" t="n"/>
      <c r="U104" s="79" t="n"/>
      <c r="V104" s="79" t="n"/>
      <c r="W104" s="79" t="n"/>
      <c r="X104" s="79" t="n"/>
      <c r="Y104" s="79" t="n"/>
      <c r="Z104" s="79" t="n"/>
    </row>
    <row r="105">
      <c r="A105" s="77" t="n"/>
      <c r="B105" s="78" t="n">
        <v>25091674521574</v>
      </c>
      <c r="C105" s="58" t="n"/>
      <c r="D105" s="65" t="n"/>
      <c r="E105" s="62" t="n">
        <v>663490</v>
      </c>
      <c r="F105" s="63" t="inlineStr">
        <is>
          <t xml:space="preserve">Samia Reza Arna </t>
        </is>
      </c>
      <c r="G105" s="60" t="n">
        <v>1989179184</v>
      </c>
      <c r="H105" s="61" t="inlineStr">
        <is>
          <t>Mymensingh</t>
        </is>
      </c>
      <c r="I105" s="63" t="inlineStr">
        <is>
          <t>Fashion</t>
        </is>
      </c>
      <c r="J105" s="63" t="inlineStr">
        <is>
          <t>Fashion</t>
        </is>
      </c>
      <c r="K105" s="62" t="n">
        <v>1069</v>
      </c>
      <c r="L105" s="63" t="inlineStr">
        <is>
          <t>Georgette High Quality Stylish Fashionable &amp; Elegant Design Saree. Saree with Blouse for Women</t>
        </is>
      </c>
      <c r="M105" s="79" t="inlineStr">
        <is>
          <t xml:space="preserve">Connected </t>
        </is>
      </c>
      <c r="N105" s="79" t="inlineStr">
        <is>
          <t>Yes</t>
        </is>
      </c>
      <c r="O105" s="79" t="inlineStr">
        <is>
          <t>Wrong Item</t>
        </is>
      </c>
      <c r="P105" s="79" t="inlineStr">
        <is>
          <t>Product was different from the picture.</t>
        </is>
      </c>
      <c r="Q105" s="79" t="n"/>
      <c r="R105" s="79" t="inlineStr">
        <is>
          <t>Yes (in time)</t>
        </is>
      </c>
      <c r="S105" s="79" t="inlineStr">
        <is>
          <t>Yes (resolved)</t>
        </is>
      </c>
      <c r="T105" s="79" t="inlineStr">
        <is>
          <t>Didn’t try</t>
        </is>
      </c>
      <c r="U105" s="79" t="n"/>
      <c r="V105" s="79" t="n"/>
      <c r="W105" s="79" t="n">
        <v>7</v>
      </c>
      <c r="X105" s="79" t="n"/>
      <c r="Y105" s="79" t="inlineStr">
        <is>
          <t>Neutral</t>
        </is>
      </c>
      <c r="Z105" s="79" t="n"/>
    </row>
    <row r="106">
      <c r="A106" s="77" t="n"/>
      <c r="B106" s="78" t="n">
        <v>25091620719674</v>
      </c>
      <c r="C106" s="63" t="inlineStr">
        <is>
          <t>Arefin</t>
        </is>
      </c>
      <c r="D106" s="65" t="n"/>
      <c r="E106" s="62" t="n">
        <v>221583</v>
      </c>
      <c r="F106" s="63" t="inlineStr">
        <is>
          <t xml:space="preserve">SoBuj HosSain SH </t>
        </is>
      </c>
      <c r="G106" s="60" t="n">
        <v>1838810836</v>
      </c>
      <c r="H106" s="66" t="inlineStr">
        <is>
          <t>Munsiganj</t>
        </is>
      </c>
      <c r="I106" s="63" t="inlineStr">
        <is>
          <t>Lifestyle</t>
        </is>
      </c>
      <c r="J106" s="63" t="inlineStr">
        <is>
          <t>Motors</t>
        </is>
      </c>
      <c r="K106" s="62" t="n">
        <v>430</v>
      </c>
      <c r="L106" s="63" t="inlineStr">
        <is>
          <t>electronic cigarette p8 coil avy</t>
        </is>
      </c>
      <c r="M106" s="79" t="inlineStr">
        <is>
          <t xml:space="preserve">Connected </t>
        </is>
      </c>
      <c r="N106" s="79" t="inlineStr">
        <is>
          <t>Yes</t>
        </is>
      </c>
      <c r="O106" s="79" t="inlineStr">
        <is>
          <t>I refused</t>
        </is>
      </c>
      <c r="P106" s="79" t="n"/>
      <c r="Q106" s="79" t="n"/>
      <c r="R106" s="79" t="inlineStr">
        <is>
          <t>Yes (in time)</t>
        </is>
      </c>
      <c r="S106" s="79" t="inlineStr">
        <is>
          <t>No</t>
        </is>
      </c>
      <c r="T106" s="79" t="inlineStr">
        <is>
          <t>Didn’t try</t>
        </is>
      </c>
      <c r="U106" s="79" t="n"/>
      <c r="V106" s="79" t="n"/>
      <c r="W106" s="79" t="n">
        <v>6</v>
      </c>
      <c r="X106" s="79" t="inlineStr">
        <is>
          <t>Customer happy with cartup service</t>
        </is>
      </c>
      <c r="Y106" s="79" t="inlineStr">
        <is>
          <t>Neutral</t>
        </is>
      </c>
      <c r="Z106" s="79" t="n"/>
    </row>
    <row r="107">
      <c r="A107" s="77" t="n"/>
      <c r="B107" s="78" t="n">
        <v>25091631652311</v>
      </c>
      <c r="C107" s="63" t="inlineStr">
        <is>
          <t>Arefin</t>
        </is>
      </c>
      <c r="D107" s="65" t="n"/>
      <c r="E107" s="62" t="n">
        <v>565603</v>
      </c>
      <c r="F107" s="63" t="inlineStr">
        <is>
          <t xml:space="preserve">Kawsar Hossain </t>
        </is>
      </c>
      <c r="G107" s="60" t="n">
        <v>1819385006</v>
      </c>
      <c r="H107" s="66" t="inlineStr">
        <is>
          <t>Munsiganj</t>
        </is>
      </c>
      <c r="I107" s="63" t="inlineStr">
        <is>
          <t>Electronics</t>
        </is>
      </c>
      <c r="J107" s="63" t="inlineStr">
        <is>
          <t>Computers  Laptops</t>
        </is>
      </c>
      <c r="K107" s="62" t="n">
        <v>455</v>
      </c>
      <c r="L107" s="63" t="inlineStr">
        <is>
          <t xml:space="preserve">Windows Bootable Pendrive With Multi Windows 7 8 10 And Free 32Gb Usb 3.0 Pen Drive   </t>
        </is>
      </c>
      <c r="M107" s="79" t="inlineStr">
        <is>
          <t xml:space="preserve">Connected </t>
        </is>
      </c>
      <c r="N107" s="79" t="inlineStr">
        <is>
          <t>No</t>
        </is>
      </c>
      <c r="O107" s="79" t="n"/>
      <c r="P107" s="79" t="n"/>
      <c r="Q107" s="79" t="n"/>
      <c r="R107" s="79" t="n"/>
      <c r="S107" s="79" t="n"/>
      <c r="T107" s="79" t="n"/>
      <c r="U107" s="79" t="n"/>
      <c r="V107" s="79" t="n"/>
      <c r="W107" s="79" t="n"/>
      <c r="X107" s="79" t="n"/>
      <c r="Y107" s="79" t="n"/>
      <c r="Z107" s="79" t="n"/>
    </row>
    <row r="108">
      <c r="A108" s="77" t="n"/>
      <c r="B108" s="78" t="n">
        <v>25091654460240</v>
      </c>
      <c r="C108" s="58" t="n"/>
      <c r="D108" s="65" t="n"/>
      <c r="E108" s="62" t="n">
        <v>692185</v>
      </c>
      <c r="F108" s="63" t="inlineStr">
        <is>
          <t xml:space="preserve">Ariyan Ahamed Rayhan </t>
        </is>
      </c>
      <c r="G108" s="60" t="n">
        <v>1992640920</v>
      </c>
      <c r="H108" s="61" t="inlineStr">
        <is>
          <t>Munsiganj</t>
        </is>
      </c>
      <c r="I108" s="63" t="inlineStr">
        <is>
          <t>Fashion</t>
        </is>
      </c>
      <c r="J108" s="63" t="inlineStr">
        <is>
          <t>Bags and Travel</t>
        </is>
      </c>
      <c r="K108" s="62" t="n">
        <v>294</v>
      </c>
      <c r="L108" s="63" t="inlineStr">
        <is>
          <t>Jeep 100% Leather Wallet For Man</t>
        </is>
      </c>
      <c r="M108" s="79" t="inlineStr">
        <is>
          <t xml:space="preserve">Connected </t>
        </is>
      </c>
      <c r="N108" s="79" t="inlineStr">
        <is>
          <t>Yes</t>
        </is>
      </c>
      <c r="O108" s="79" t="inlineStr">
        <is>
          <t>Wrong Item</t>
        </is>
      </c>
      <c r="P108" s="79" t="n"/>
      <c r="Q108" s="79" t="n"/>
      <c r="R108" s="79" t="inlineStr">
        <is>
          <t>Yes (in time)</t>
        </is>
      </c>
      <c r="S108" s="79" t="inlineStr">
        <is>
          <t>Yes (resolved)</t>
        </is>
      </c>
      <c r="T108" s="79" t="inlineStr">
        <is>
          <t>Not required</t>
        </is>
      </c>
      <c r="U108" s="79" t="n"/>
      <c r="V108" s="79" t="n"/>
      <c r="W108" s="79" t="n">
        <v>9</v>
      </c>
      <c r="X108" s="79" t="inlineStr">
        <is>
          <t>Liked the service but sellers should provide exact same product as they advertise.</t>
        </is>
      </c>
      <c r="Y108" s="79" t="inlineStr">
        <is>
          <t>Positive</t>
        </is>
      </c>
      <c r="Z108" s="79" t="n"/>
    </row>
    <row r="109">
      <c r="A109" s="77" t="n"/>
      <c r="B109" s="78" t="n">
        <v>25092025745098</v>
      </c>
      <c r="C109" s="58" t="n"/>
      <c r="D109" s="65" t="n"/>
      <c r="E109" s="62" t="n">
        <v>565603</v>
      </c>
      <c r="F109" s="63" t="inlineStr">
        <is>
          <t xml:space="preserve">Kawsar Hossain </t>
        </is>
      </c>
      <c r="G109" s="60" t="n">
        <v>1819385006</v>
      </c>
      <c r="H109" s="61" t="inlineStr">
        <is>
          <t>Munsiganj</t>
        </is>
      </c>
      <c r="I109" s="63" t="inlineStr">
        <is>
          <t>Lifestyle</t>
        </is>
      </c>
      <c r="J109" s="63" t="inlineStr">
        <is>
          <t>Motors</t>
        </is>
      </c>
      <c r="K109" s="62" t="n">
        <v>624</v>
      </c>
      <c r="L109" s="63" t="inlineStr">
        <is>
          <t>BSEOCH Wind Tone Horn 110dB 510Hz Auto Dual Snail Horn Clear &amp; Natural Loud Sound for Car &amp; Bike 12V -2PCS</t>
        </is>
      </c>
      <c r="M109" s="79" t="n"/>
      <c r="N109" s="79" t="n"/>
      <c r="O109" s="79" t="n"/>
      <c r="P109" s="79" t="n"/>
      <c r="Q109" s="79" t="n"/>
      <c r="R109" s="79" t="n"/>
      <c r="S109" s="79" t="n"/>
      <c r="T109" s="79" t="n"/>
      <c r="U109" s="79" t="n"/>
      <c r="V109" s="79" t="n"/>
      <c r="W109" s="79" t="n"/>
      <c r="X109" s="79" t="n"/>
      <c r="Y109" s="79" t="n"/>
      <c r="Z109" s="79" t="n"/>
    </row>
    <row r="110">
      <c r="A110" s="77" t="n"/>
      <c r="B110" s="78" t="n">
        <v>25091775656382</v>
      </c>
      <c r="C110" s="58" t="n"/>
      <c r="D110" s="65" t="n"/>
      <c r="E110" s="62" t="n">
        <v>559204</v>
      </c>
      <c r="F110" s="63" t="inlineStr">
        <is>
          <t xml:space="preserve">Syed Adib </t>
        </is>
      </c>
      <c r="G110" s="60" t="n">
        <v>1737743169</v>
      </c>
      <c r="H110" s="61" t="inlineStr">
        <is>
          <t>Moulvibazar</t>
        </is>
      </c>
      <c r="I110" s="63" t="inlineStr">
        <is>
          <t>Lifestyle</t>
        </is>
      </c>
      <c r="J110" s="63" t="inlineStr">
        <is>
          <t>Motors</t>
        </is>
      </c>
      <c r="K110" s="62" t="n">
        <v>58</v>
      </c>
      <c r="L110" s="63" t="inlineStr">
        <is>
          <t>Key ring For Bike user ----Limited Edition---- Premium Quality &amp; Plastic lock (Attachable to keys for bike, car, bag, home, and office keys)</t>
        </is>
      </c>
      <c r="M110" s="79" t="inlineStr">
        <is>
          <t>Not Connected</t>
        </is>
      </c>
      <c r="N110" s="79" t="n"/>
      <c r="O110" s="79" t="n"/>
      <c r="P110" s="79" t="n"/>
      <c r="Q110" s="79" t="n"/>
      <c r="R110" s="79" t="n"/>
      <c r="S110" s="79" t="n"/>
      <c r="T110" s="79" t="n"/>
      <c r="U110" s="79" t="n"/>
      <c r="V110" s="79" t="n"/>
      <c r="W110" s="79" t="n"/>
      <c r="X110" s="79" t="n"/>
      <c r="Y110" s="79" t="n"/>
      <c r="Z110" s="79" t="n"/>
    </row>
    <row r="111">
      <c r="A111" s="77" t="n"/>
      <c r="B111" s="78" t="n">
        <v>25091888279426</v>
      </c>
      <c r="C111" s="58" t="n"/>
      <c r="D111" s="65" t="n"/>
      <c r="E111" s="62" t="n">
        <v>270836</v>
      </c>
      <c r="F111" s="63" t="inlineStr">
        <is>
          <t xml:space="preserve">Raju Kumar Bhor </t>
        </is>
      </c>
      <c r="G111" s="60" t="n">
        <v>1771844581</v>
      </c>
      <c r="H111" s="66" t="inlineStr">
        <is>
          <t>Moulvibazar</t>
        </is>
      </c>
      <c r="I111" s="63" t="inlineStr">
        <is>
          <t>Fashion</t>
        </is>
      </c>
      <c r="J111" s="63" t="inlineStr">
        <is>
          <t>Watches Sunglasses Jewellery</t>
        </is>
      </c>
      <c r="K111" s="62" t="n">
        <v>304</v>
      </c>
      <c r="L111" s="63" t="inlineStr">
        <is>
          <t>New Mens Digital Sport Watch Large Face - Waterproof Army -9040</t>
        </is>
      </c>
      <c r="M111" s="79" t="n"/>
      <c r="N111" s="79" t="n"/>
      <c r="O111" s="79" t="n"/>
      <c r="P111" s="79" t="n"/>
      <c r="Q111" s="79" t="n"/>
      <c r="R111" s="79" t="n"/>
      <c r="S111" s="79" t="n"/>
      <c r="T111" s="79" t="n"/>
      <c r="U111" s="79" t="n"/>
      <c r="V111" s="79" t="n"/>
      <c r="W111" s="79" t="n"/>
      <c r="X111" s="79" t="n"/>
      <c r="Y111" s="79" t="n"/>
      <c r="Z111" s="79" t="n"/>
    </row>
    <row r="112">
      <c r="A112" s="77" t="n"/>
      <c r="B112" s="78" t="n">
        <v>25091915028586</v>
      </c>
      <c r="C112" s="58" t="n"/>
      <c r="D112" s="65" t="n"/>
      <c r="E112" s="62" t="n">
        <v>696482</v>
      </c>
      <c r="F112" s="63" t="inlineStr">
        <is>
          <t xml:space="preserve">MD Selimuddin </t>
        </is>
      </c>
      <c r="G112" s="60" t="n">
        <v>1721266864</v>
      </c>
      <c r="H112" s="66" t="inlineStr">
        <is>
          <t>Moulvibazar</t>
        </is>
      </c>
      <c r="I112" s="63" t="inlineStr">
        <is>
          <t>Lifestyle</t>
        </is>
      </c>
      <c r="J112" s="63" t="inlineStr">
        <is>
          <t>Furniture  Decor</t>
        </is>
      </c>
      <c r="K112" s="62" t="n">
        <v>72</v>
      </c>
      <c r="L112" s="63" t="inlineStr">
        <is>
          <t>rgb colour changing led light 7 color 9 watt RGB light Bulb 1 ps</t>
        </is>
      </c>
      <c r="M112" s="79" t="n"/>
      <c r="N112" s="79" t="n"/>
      <c r="O112" s="79" t="n"/>
      <c r="P112" s="79" t="n"/>
      <c r="Q112" s="79" t="n"/>
      <c r="R112" s="79" t="n"/>
      <c r="S112" s="79" t="n"/>
      <c r="T112" s="79" t="n"/>
      <c r="U112" s="79" t="n"/>
      <c r="V112" s="79" t="n"/>
      <c r="W112" s="79" t="n"/>
      <c r="X112" s="79" t="n"/>
      <c r="Y112" s="79" t="n"/>
      <c r="Z112" s="79" t="n"/>
    </row>
    <row r="113">
      <c r="A113" s="77" t="n"/>
      <c r="B113" s="78" t="n">
        <v>25091960330634</v>
      </c>
      <c r="C113" s="58" t="n"/>
      <c r="D113" s="65" t="n"/>
      <c r="E113" s="62" t="n">
        <v>676803</v>
      </c>
      <c r="F113" s="63" t="inlineStr">
        <is>
          <t xml:space="preserve">Mr./Ms. </t>
        </is>
      </c>
      <c r="G113" s="60" t="n">
        <v>1626837522</v>
      </c>
      <c r="H113" s="66" t="inlineStr">
        <is>
          <t>Moulvibazar</t>
        </is>
      </c>
      <c r="I113" s="63" t="inlineStr">
        <is>
          <t>Fashion</t>
        </is>
      </c>
      <c r="J113" s="63" t="inlineStr">
        <is>
          <t>Watches Sunglasses Jewellery</t>
        </is>
      </c>
      <c r="K113" s="62" t="n">
        <v>96</v>
      </c>
      <c r="L113" s="63" t="inlineStr">
        <is>
          <t>New Men Fashionable Black Sunglasses Black Vision Driving Uv Protection Party Travel Sunglasses Best Sunglasses - Sun Glass For Men</t>
        </is>
      </c>
      <c r="M113" s="79" t="n"/>
      <c r="N113" s="79" t="n"/>
      <c r="O113" s="79" t="n"/>
      <c r="P113" s="79" t="n"/>
      <c r="Q113" s="79" t="n"/>
      <c r="R113" s="79" t="n"/>
      <c r="S113" s="79" t="n"/>
      <c r="T113" s="79" t="n"/>
      <c r="U113" s="79" t="n"/>
      <c r="V113" s="79" t="n"/>
      <c r="W113" s="79" t="n"/>
      <c r="X113" s="79" t="n"/>
      <c r="Y113" s="79" t="n"/>
      <c r="Z113" s="79" t="n"/>
    </row>
    <row r="114">
      <c r="A114" s="77" t="n"/>
      <c r="B114" s="78" t="n">
        <v>25091783928443</v>
      </c>
      <c r="C114" s="58" t="n"/>
      <c r="D114" s="65" t="n"/>
      <c r="E114" s="62" t="n">
        <v>42379</v>
      </c>
      <c r="F114" s="63" t="inlineStr">
        <is>
          <t xml:space="preserve">Mr./Ms. </t>
        </is>
      </c>
      <c r="G114" s="60" t="n">
        <v>1737085120</v>
      </c>
      <c r="H114" s="61" t="inlineStr">
        <is>
          <t>Meherpur</t>
        </is>
      </c>
      <c r="I114" s="63" t="inlineStr">
        <is>
          <t>Lifestyle</t>
        </is>
      </c>
      <c r="J114" s="63" t="inlineStr">
        <is>
          <t>Stationery  Craft</t>
        </is>
      </c>
      <c r="K114" s="62" t="n">
        <v>75</v>
      </c>
      <c r="L114" s="63" t="inlineStr">
        <is>
          <t>Masking Tape 1/2 Inch 12 mm  (Pack of 1) of Multi-Use, Easy Tear Tape. Great for Carpenter Labeling, Painting</t>
        </is>
      </c>
      <c r="M114" s="79" t="inlineStr">
        <is>
          <t xml:space="preserve">Connected </t>
        </is>
      </c>
      <c r="N114" s="79" t="inlineStr">
        <is>
          <t>Yes</t>
        </is>
      </c>
      <c r="O114" s="79" t="inlineStr">
        <is>
          <t>Other</t>
        </is>
      </c>
      <c r="P114" s="79" t="n"/>
      <c r="Q114" s="79" t="n"/>
      <c r="R114" s="79" t="inlineStr">
        <is>
          <t>Yes (in time)</t>
        </is>
      </c>
      <c r="S114" s="79" t="inlineStr">
        <is>
          <t>No</t>
        </is>
      </c>
      <c r="T114" s="79" t="inlineStr">
        <is>
          <t>Didn’t try</t>
        </is>
      </c>
      <c r="U114" s="79" t="n"/>
      <c r="V114" s="79" t="n"/>
      <c r="W114" s="79" t="n">
        <v>9</v>
      </c>
      <c r="X114" s="79" t="n"/>
      <c r="Y114" s="79" t="inlineStr">
        <is>
          <t>Positive</t>
        </is>
      </c>
      <c r="Z114" s="79" t="n"/>
    </row>
    <row r="115">
      <c r="A115" s="77" t="n"/>
      <c r="B115" s="78" t="n">
        <v>25091810481434</v>
      </c>
      <c r="C115" s="58" t="n"/>
      <c r="D115" s="65" t="n"/>
      <c r="E115" s="62" t="n">
        <v>676991</v>
      </c>
      <c r="F115" s="63" t="inlineStr">
        <is>
          <t>md ripon</t>
        </is>
      </c>
      <c r="G115" s="60" t="n">
        <v>1305800686</v>
      </c>
      <c r="H115" s="66" t="inlineStr">
        <is>
          <t>Meherpur</t>
        </is>
      </c>
      <c r="I115" s="63" t="inlineStr">
        <is>
          <t>Lifestyle</t>
        </is>
      </c>
      <c r="J115" s="63" t="inlineStr">
        <is>
          <t>Tools, DIY  Outdoor</t>
        </is>
      </c>
      <c r="K115" s="62" t="n">
        <v>672</v>
      </c>
      <c r="L115" s="63" t="inlineStr">
        <is>
          <t>3 FEET- Heat Shrink Tube 5mm BLACK Heat Shrink Tubing Electrical Connection Wire Cables Wrap Waterproof Shrinkage Sleeve Kit 5mm Heat Shrink Tubes</t>
        </is>
      </c>
      <c r="M115" s="79" t="inlineStr">
        <is>
          <t>Not Connected</t>
        </is>
      </c>
      <c r="N115" s="79" t="n"/>
      <c r="O115" s="79" t="n"/>
      <c r="P115" s="79" t="n"/>
      <c r="Q115" s="79" t="n"/>
      <c r="R115" s="79" t="n"/>
      <c r="S115" s="79" t="n"/>
      <c r="T115" s="79" t="n"/>
      <c r="U115" s="79" t="n"/>
      <c r="V115" s="79" t="n"/>
      <c r="W115" s="79" t="n"/>
      <c r="X115" s="79" t="n"/>
      <c r="Y115" s="79" t="n"/>
      <c r="Z115" s="79" t="n"/>
    </row>
    <row r="116">
      <c r="A116" s="77" t="n"/>
      <c r="B116" s="78" t="n">
        <v>25092312618596</v>
      </c>
      <c r="C116" s="58" t="n"/>
      <c r="D116" s="65" t="n"/>
      <c r="E116" s="62" t="n">
        <v>691516</v>
      </c>
      <c r="F116" s="63" t="inlineStr">
        <is>
          <t xml:space="preserve">ABU SAYED NISHO </t>
        </is>
      </c>
      <c r="G116" s="60" t="n">
        <v>1910638233</v>
      </c>
      <c r="H116" s="61" t="inlineStr">
        <is>
          <t>Meherpur</t>
        </is>
      </c>
      <c r="I116" s="63" t="inlineStr">
        <is>
          <t>Electronics</t>
        </is>
      </c>
      <c r="J116" s="63" t="inlineStr">
        <is>
          <t>Mobiles  Tablets</t>
        </is>
      </c>
      <c r="K116" s="62" t="n">
        <v>268</v>
      </c>
      <c r="L116" s="63" t="inlineStr">
        <is>
          <t>Transparent Mobile Back Cover For iphone 11/ 13 mini/ 13/ 12 pro max/ 12 pro/ 12 mini/ 12/ 11 pro max/ 11pro/ 14 pro max/ 14 pro/ 14 plus/ 14/ 13 pro max/ 13 pro</t>
        </is>
      </c>
      <c r="M116" s="79" t="n"/>
      <c r="N116" s="79" t="n"/>
      <c r="O116" s="79" t="n"/>
      <c r="P116" s="79" t="n"/>
      <c r="Q116" s="79" t="n"/>
      <c r="R116" s="79" t="n"/>
      <c r="S116" s="79" t="n"/>
      <c r="T116" s="79" t="n"/>
      <c r="U116" s="79" t="n"/>
      <c r="V116" s="79" t="n"/>
      <c r="W116" s="79" t="n"/>
      <c r="X116" s="79" t="n"/>
      <c r="Y116" s="79" t="n"/>
      <c r="Z116" s="79" t="n"/>
    </row>
    <row r="117">
      <c r="A117" s="77" t="n"/>
      <c r="B117" s="78" t="n">
        <v>25092348837012</v>
      </c>
      <c r="C117" s="58" t="n"/>
      <c r="D117" s="65" t="n"/>
      <c r="E117" s="62" t="n">
        <v>267727</v>
      </c>
      <c r="F117" s="63" t="inlineStr">
        <is>
          <t xml:space="preserve">Mdsaied Mdsaied </t>
        </is>
      </c>
      <c r="G117" s="60" t="n">
        <v>1310372242</v>
      </c>
      <c r="H117" s="61" t="inlineStr">
        <is>
          <t>Meherpur</t>
        </is>
      </c>
      <c r="I117" s="63" t="inlineStr">
        <is>
          <t>Fashion</t>
        </is>
      </c>
      <c r="J117" s="63" t="inlineStr">
        <is>
          <t>Fashion</t>
        </is>
      </c>
      <c r="K117" s="62" t="n">
        <v>398</v>
      </c>
      <c r="L117" s="63" t="inlineStr">
        <is>
          <t>Knit Denim Pant For Men New Collection 2024 Export Quality Jeans Pant For Men Blue | Deep Blue Denim Pant For Men</t>
        </is>
      </c>
      <c r="M117" s="79" t="n"/>
      <c r="N117" s="79" t="n"/>
      <c r="O117" s="79" t="n"/>
      <c r="P117" s="79" t="n"/>
      <c r="Q117" s="79" t="n"/>
      <c r="R117" s="79" t="n"/>
      <c r="S117" s="79" t="n"/>
      <c r="T117" s="79" t="n"/>
      <c r="U117" s="79" t="n"/>
      <c r="V117" s="79" t="n"/>
      <c r="W117" s="79" t="n"/>
      <c r="X117" s="79" t="n"/>
      <c r="Y117" s="79" t="n"/>
      <c r="Z117" s="79" t="n"/>
    </row>
    <row r="118">
      <c r="A118" s="77" t="n"/>
      <c r="B118" s="78" t="n">
        <v>25091674325127</v>
      </c>
      <c r="C118" s="58" t="n"/>
      <c r="D118" s="65" t="n"/>
      <c r="E118" s="62" t="n">
        <v>690726</v>
      </c>
      <c r="F118" s="63" t="inlineStr">
        <is>
          <t xml:space="preserve">Mustakin Pramanik </t>
        </is>
      </c>
      <c r="G118" s="60" t="n">
        <v>1320911708</v>
      </c>
      <c r="H118" s="61" t="inlineStr">
        <is>
          <t>Manikganj</t>
        </is>
      </c>
      <c r="I118" s="63" t="inlineStr">
        <is>
          <t>Electronics</t>
        </is>
      </c>
      <c r="J118" s="63" t="inlineStr">
        <is>
          <t>Mobiles  Tablets</t>
        </is>
      </c>
      <c r="K118" s="62" t="n">
        <v>115</v>
      </c>
      <c r="L118" s="63" t="inlineStr">
        <is>
          <t>For Samsung Galaxy A13 / A23 / A32 / A33 / A52 / A53 / A72 / A73 Camera Lens PROTECTED Luxurious Smoky Matte Shockproof BACK COVER Case</t>
        </is>
      </c>
      <c r="M118" s="79" t="inlineStr">
        <is>
          <t xml:space="preserve">Connected </t>
        </is>
      </c>
      <c r="N118" s="79" t="inlineStr">
        <is>
          <t>No</t>
        </is>
      </c>
      <c r="O118" s="79" t="n"/>
      <c r="P118" s="79" t="n"/>
      <c r="Q118" s="79" t="n"/>
      <c r="R118" s="79" t="n"/>
      <c r="S118" s="79" t="n"/>
      <c r="T118" s="79" t="n"/>
      <c r="U118" s="79" t="n"/>
      <c r="V118" s="79" t="n"/>
      <c r="W118" s="79" t="n"/>
      <c r="X118" s="79" t="n"/>
      <c r="Y118" s="79" t="n"/>
      <c r="Z118" s="79" t="n"/>
    </row>
    <row r="119">
      <c r="A119" s="77" t="n"/>
      <c r="B119" s="78" t="n">
        <v>25091796695710</v>
      </c>
      <c r="C119" s="58" t="n"/>
      <c r="D119" s="65" t="n"/>
      <c r="E119" s="62" t="n">
        <v>602331</v>
      </c>
      <c r="F119" s="63" t="inlineStr">
        <is>
          <t xml:space="preserve">Abir Hossain </t>
        </is>
      </c>
      <c r="G119" s="60" t="n">
        <v>1307630971</v>
      </c>
      <c r="H119" s="61" t="inlineStr">
        <is>
          <t>Manikganj</t>
        </is>
      </c>
      <c r="I119" s="63" t="inlineStr">
        <is>
          <t>FMCG</t>
        </is>
      </c>
      <c r="J119" s="63" t="inlineStr">
        <is>
          <t>Health  Beauty</t>
        </is>
      </c>
      <c r="K119" s="62" t="n">
        <v>349</v>
      </c>
      <c r="L119" s="63" t="inlineStr">
        <is>
          <t>Vintage T9 Recharge Professional Hair Trimmer metal body with type C fast charging port</t>
        </is>
      </c>
      <c r="M119" s="79" t="inlineStr">
        <is>
          <t xml:space="preserve">Connected </t>
        </is>
      </c>
      <c r="N119" s="79" t="inlineStr">
        <is>
          <t>No</t>
        </is>
      </c>
      <c r="O119" s="79" t="n"/>
      <c r="P119" s="79" t="n"/>
      <c r="Q119" s="79" t="n"/>
      <c r="R119" s="79" t="n"/>
      <c r="S119" s="79" t="n"/>
      <c r="T119" s="79" t="n"/>
      <c r="U119" s="79" t="n"/>
      <c r="V119" s="79" t="n"/>
      <c r="W119" s="79" t="n"/>
      <c r="X119" s="79" t="n"/>
      <c r="Y119" s="79" t="n"/>
      <c r="Z119" s="79" t="n"/>
    </row>
    <row r="120">
      <c r="A120" s="77" t="n"/>
      <c r="B120" s="78" t="n">
        <v>25091899851875</v>
      </c>
      <c r="C120" s="58" t="n"/>
      <c r="D120" s="65" t="n"/>
      <c r="E120" s="62" t="n">
        <v>696693</v>
      </c>
      <c r="F120" s="63" t="inlineStr">
        <is>
          <t xml:space="preserve">Mr./Ms. </t>
        </is>
      </c>
      <c r="G120" s="60" t="n">
        <v>1898472552</v>
      </c>
      <c r="H120" s="61" t="inlineStr">
        <is>
          <t>Manikganj</t>
        </is>
      </c>
      <c r="I120" s="63" t="inlineStr">
        <is>
          <t>Electronics</t>
        </is>
      </c>
      <c r="J120" s="63" t="inlineStr">
        <is>
          <t>Computers  Laptops</t>
        </is>
      </c>
      <c r="K120" s="62" t="n">
        <v>169</v>
      </c>
      <c r="L120" s="63" t="inlineStr">
        <is>
          <t>Doomhot Usb Hubs 4 Port Usb 3.0 Hub Super Speed 5Gbps Usb Ports Converter Cable Adapter Micro Usb Power Pc Computer Accessories With Otg Function For Desktop Laptop Pc</t>
        </is>
      </c>
      <c r="M120" s="79" t="n"/>
      <c r="N120" s="79" t="n"/>
      <c r="O120" s="79" t="n"/>
      <c r="P120" s="79" t="n"/>
      <c r="Q120" s="79" t="n"/>
      <c r="R120" s="79" t="n"/>
      <c r="S120" s="79" t="n"/>
      <c r="T120" s="79" t="n"/>
      <c r="U120" s="79" t="n"/>
      <c r="V120" s="79" t="n"/>
      <c r="W120" s="79" t="n"/>
      <c r="X120" s="79" t="n"/>
      <c r="Y120" s="79" t="n"/>
      <c r="Z120" s="79" t="n"/>
    </row>
    <row r="121">
      <c r="A121" s="77" t="n"/>
      <c r="B121" s="78" t="n">
        <v>25091935548426</v>
      </c>
      <c r="C121" s="58" t="n"/>
      <c r="D121" s="65" t="n"/>
      <c r="E121" s="62" t="n">
        <v>402888</v>
      </c>
      <c r="F121" s="63" t="inlineStr">
        <is>
          <t>Badhon Sahriar</t>
        </is>
      </c>
      <c r="G121" s="60" t="n">
        <v>1639422204</v>
      </c>
      <c r="H121" s="66" t="inlineStr">
        <is>
          <t>Manikganj</t>
        </is>
      </c>
      <c r="I121" s="63" t="inlineStr">
        <is>
          <t>Lifestyle</t>
        </is>
      </c>
      <c r="J121" s="63" t="inlineStr">
        <is>
          <t>Sports  Outdoors</t>
        </is>
      </c>
      <c r="K121" s="62" t="n">
        <v>557</v>
      </c>
      <c r="L121" s="63" t="inlineStr">
        <is>
          <t>BMW Umbrella 12 rib auto open &amp; auto close</t>
        </is>
      </c>
      <c r="M121" s="79" t="n"/>
      <c r="N121" s="79" t="n"/>
      <c r="O121" s="79" t="n"/>
      <c r="P121" s="79" t="n"/>
      <c r="Q121" s="79" t="n"/>
      <c r="R121" s="79" t="n"/>
      <c r="S121" s="79" t="n"/>
      <c r="T121" s="79" t="n"/>
      <c r="U121" s="79" t="n"/>
      <c r="V121" s="79" t="n"/>
      <c r="W121" s="79" t="n"/>
      <c r="X121" s="79" t="n"/>
      <c r="Y121" s="79" t="n"/>
      <c r="Z121" s="79" t="n"/>
    </row>
    <row r="122">
      <c r="A122" s="77" t="n"/>
      <c r="B122" s="78" t="n">
        <v>25091665071889</v>
      </c>
      <c r="C122" s="58" t="n"/>
      <c r="D122" s="65" t="n"/>
      <c r="E122" s="62" t="n">
        <v>134924</v>
      </c>
      <c r="F122" s="63" t="inlineStr">
        <is>
          <t xml:space="preserve">IBE ZUHANE </t>
        </is>
      </c>
      <c r="G122" s="60" t="n">
        <v>1994423478</v>
      </c>
      <c r="H122" s="66" t="inlineStr">
        <is>
          <t>Magura</t>
        </is>
      </c>
      <c r="I122" s="63" t="inlineStr">
        <is>
          <t>Lifestyle</t>
        </is>
      </c>
      <c r="J122" s="63" t="inlineStr">
        <is>
          <t>Tools, DIY  Outdoor</t>
        </is>
      </c>
      <c r="K122" s="62" t="n">
        <v>874</v>
      </c>
      <c r="L122" s="63" t="inlineStr">
        <is>
          <t>14 in 1 Multi Functional Multi tool Stainless Steel and Wooden Claw Hammer and Axe</t>
        </is>
      </c>
      <c r="M122" s="79" t="inlineStr">
        <is>
          <t xml:space="preserve">Connected </t>
        </is>
      </c>
      <c r="N122" s="79" t="inlineStr">
        <is>
          <t>Yes</t>
        </is>
      </c>
      <c r="O122" s="79" t="inlineStr">
        <is>
          <t>Other</t>
        </is>
      </c>
      <c r="P122" s="79" t="n"/>
      <c r="Q122" s="79" t="n"/>
      <c r="R122" s="79" t="inlineStr">
        <is>
          <t>Yes (in time)</t>
        </is>
      </c>
      <c r="S122" s="79" t="inlineStr">
        <is>
          <t>No</t>
        </is>
      </c>
      <c r="T122" s="79" t="inlineStr">
        <is>
          <t>Didn’t try</t>
        </is>
      </c>
      <c r="U122" s="79" t="n"/>
      <c r="V122" s="79" t="n"/>
      <c r="W122" s="79" t="n">
        <v>6</v>
      </c>
      <c r="X122" s="79" t="n"/>
      <c r="Y122" s="79" t="inlineStr">
        <is>
          <t>Neutral</t>
        </is>
      </c>
      <c r="Z122" s="79" t="n"/>
    </row>
    <row r="123">
      <c r="A123" s="77" t="n"/>
      <c r="B123" s="78" t="n">
        <v>25091925087588</v>
      </c>
      <c r="C123" s="58" t="n"/>
      <c r="D123" s="65" t="n"/>
      <c r="E123" s="62" t="n">
        <v>72370</v>
      </c>
      <c r="F123" s="63" t="inlineStr">
        <is>
          <t xml:space="preserve">Mahiuddin Ashik </t>
        </is>
      </c>
      <c r="G123" s="60" t="n">
        <v>1860350750</v>
      </c>
      <c r="H123" s="66" t="inlineStr">
        <is>
          <t>Magura</t>
        </is>
      </c>
      <c r="I123" s="63" t="inlineStr">
        <is>
          <t>Electronics</t>
        </is>
      </c>
      <c r="J123" s="63" t="inlineStr">
        <is>
          <t>TV, Audio / Video, Gaming  Wearables</t>
        </is>
      </c>
      <c r="K123" s="62" t="n">
        <v>2324</v>
      </c>
      <c r="L123" s="63" t="inlineStr">
        <is>
          <t>T900 Ultra 2 Watch Ultra Gen 2 IWO Watch NFC Bluetooth Call Heart Rate Waterproof 2.2 Inch Wireless Fitness Watch</t>
        </is>
      </c>
      <c r="M123" s="79" t="n"/>
      <c r="N123" s="79" t="n"/>
      <c r="O123" s="79" t="n"/>
      <c r="P123" s="79" t="n"/>
      <c r="Q123" s="79" t="n"/>
      <c r="R123" s="79" t="n"/>
      <c r="S123" s="79" t="n"/>
      <c r="T123" s="79" t="n"/>
      <c r="U123" s="79" t="n"/>
      <c r="V123" s="79" t="n"/>
      <c r="W123" s="79" t="n"/>
      <c r="X123" s="79" t="n"/>
      <c r="Y123" s="79" t="n"/>
      <c r="Z123" s="79" t="n"/>
    </row>
    <row r="124">
      <c r="A124" s="77" t="n"/>
      <c r="B124" s="78" t="n">
        <v>25092524174962</v>
      </c>
      <c r="C124" s="58" t="n"/>
      <c r="D124" s="65" t="n"/>
      <c r="E124" s="62" t="n">
        <v>723893</v>
      </c>
      <c r="F124" s="63" t="inlineStr">
        <is>
          <t>Nahid hasan</t>
        </is>
      </c>
      <c r="G124" s="60" t="n">
        <v>1316345576</v>
      </c>
      <c r="H124" s="61" t="inlineStr">
        <is>
          <t>Magura</t>
        </is>
      </c>
      <c r="I124" s="63" t="inlineStr">
        <is>
          <t>Fashion</t>
        </is>
      </c>
      <c r="J124" s="63" t="inlineStr">
        <is>
          <t>Fashion</t>
        </is>
      </c>
      <c r="K124" s="62" t="n">
        <v>580</v>
      </c>
      <c r="L124" s="63" t="inlineStr">
        <is>
          <t>Lotto Premium Boxer Underwear For Men</t>
        </is>
      </c>
      <c r="M124" s="79" t="n"/>
      <c r="N124" s="79" t="n"/>
      <c r="O124" s="79" t="n"/>
      <c r="P124" s="79" t="n"/>
      <c r="Q124" s="79" t="n"/>
      <c r="R124" s="79" t="n"/>
      <c r="S124" s="79" t="n"/>
      <c r="T124" s="79" t="n"/>
      <c r="U124" s="79" t="n"/>
      <c r="V124" s="79" t="n"/>
      <c r="W124" s="79" t="n"/>
      <c r="X124" s="79" t="n"/>
      <c r="Y124" s="79" t="n"/>
      <c r="Z124" s="79" t="n"/>
    </row>
    <row r="125">
      <c r="A125" s="77" t="n"/>
      <c r="B125" s="78" t="n">
        <v>25092538844835</v>
      </c>
      <c r="C125" s="58" t="n"/>
      <c r="D125" s="65" t="n"/>
      <c r="E125" s="62" t="n">
        <v>694643</v>
      </c>
      <c r="F125" s="63" t="inlineStr">
        <is>
          <t xml:space="preserve">Mr./Ms. </t>
        </is>
      </c>
      <c r="G125" s="60" t="n">
        <v>1843141678</v>
      </c>
      <c r="H125" s="61" t="inlineStr">
        <is>
          <t>Magura</t>
        </is>
      </c>
      <c r="I125" s="63" t="inlineStr">
        <is>
          <t>Electronics</t>
        </is>
      </c>
      <c r="J125" s="63" t="inlineStr">
        <is>
          <t>TV, Audio / Video, Gaming  Wearables</t>
        </is>
      </c>
      <c r="K125" s="62" t="n">
        <v>245</v>
      </c>
      <c r="L125" s="63" t="inlineStr">
        <is>
          <t>M10 tws Wireless Earphone Touch Bluetooth Earplug In Ear Stereo Sport Headsets cvc8.0 Digital Display</t>
        </is>
      </c>
      <c r="M125" s="79" t="n"/>
      <c r="N125" s="79" t="n"/>
      <c r="O125" s="79" t="n"/>
      <c r="P125" s="79" t="n"/>
      <c r="Q125" s="79" t="n"/>
      <c r="R125" s="79" t="n"/>
      <c r="S125" s="79" t="n"/>
      <c r="T125" s="79" t="n"/>
      <c r="U125" s="79" t="n"/>
      <c r="V125" s="79" t="n"/>
      <c r="W125" s="79" t="n"/>
      <c r="X125" s="79" t="n"/>
      <c r="Y125" s="79" t="n"/>
      <c r="Z125" s="79" t="n"/>
    </row>
    <row r="126">
      <c r="A126" s="77" t="n"/>
      <c r="B126" s="78" t="n">
        <v>25091744343328</v>
      </c>
      <c r="C126" s="58" t="n"/>
      <c r="D126" s="65" t="n"/>
      <c r="E126" s="62" t="n">
        <v>689269</v>
      </c>
      <c r="F126" s="63" t="inlineStr">
        <is>
          <t xml:space="preserve">Akibul Islam </t>
        </is>
      </c>
      <c r="G126" s="60" t="n">
        <v>1857838138</v>
      </c>
      <c r="H126" s="61" t="inlineStr">
        <is>
          <t>Madaripur</t>
        </is>
      </c>
      <c r="I126" s="63" t="inlineStr">
        <is>
          <t>Fashion</t>
        </is>
      </c>
      <c r="J126" s="63" t="inlineStr">
        <is>
          <t>Watches Sunglasses Jewellery</t>
        </is>
      </c>
      <c r="K126" s="62" t="n">
        <v>149</v>
      </c>
      <c r="L126" s="63" t="inlineStr">
        <is>
          <t>Glasses Black Frame Anti-blue Light Fashion Glasses</t>
        </is>
      </c>
      <c r="M126" s="79" t="inlineStr">
        <is>
          <t>Not Connected</t>
        </is>
      </c>
      <c r="N126" s="79" t="n"/>
      <c r="O126" s="79" t="n"/>
      <c r="P126" s="79" t="n"/>
      <c r="Q126" s="79" t="n"/>
      <c r="R126" s="79" t="n"/>
      <c r="S126" s="79" t="n"/>
      <c r="T126" s="79" t="n"/>
      <c r="U126" s="79" t="n"/>
      <c r="V126" s="79" t="n"/>
      <c r="W126" s="79" t="n"/>
      <c r="X126" s="79" t="n"/>
      <c r="Y126" s="79" t="n"/>
      <c r="Z126" s="79" t="n"/>
    </row>
    <row r="127">
      <c r="A127" s="77" t="n"/>
      <c r="B127" s="78" t="n">
        <v>25091955397610</v>
      </c>
      <c r="C127" s="58" t="n"/>
      <c r="D127" s="65" t="n"/>
      <c r="E127" s="62" t="n">
        <v>360531</v>
      </c>
      <c r="F127" s="63" t="inlineStr">
        <is>
          <t xml:space="preserve">Robiul Hosan </t>
        </is>
      </c>
      <c r="G127" s="60" t="n">
        <v>1620846728</v>
      </c>
      <c r="H127" s="66" t="inlineStr">
        <is>
          <t>Madaripur</t>
        </is>
      </c>
      <c r="I127" s="63" t="inlineStr">
        <is>
          <t>Lifestyle</t>
        </is>
      </c>
      <c r="J127" s="63" t="inlineStr">
        <is>
          <t>Tools, DIY  Outdoor</t>
        </is>
      </c>
      <c r="K127" s="62" t="n">
        <v>66</v>
      </c>
      <c r="L127" s="63" t="inlineStr">
        <is>
          <t xml:space="preserve">J5019 HW-357 Boost Module DC DC Step Up Adjustable UPS 4.5-8V To 3.7-27V 1A Boost Converter Adapters 3.7V 18650 AAA AA Battery Charger TP4056 </t>
        </is>
      </c>
      <c r="M127" s="79" t="n"/>
      <c r="N127" s="79" t="n"/>
      <c r="O127" s="79" t="n"/>
      <c r="P127" s="79" t="n"/>
      <c r="Q127" s="79" t="n"/>
      <c r="R127" s="79" t="n"/>
      <c r="S127" s="79" t="n"/>
      <c r="T127" s="79" t="n"/>
      <c r="U127" s="79" t="n"/>
      <c r="V127" s="79" t="n"/>
      <c r="W127" s="79" t="n"/>
      <c r="X127" s="79" t="n"/>
      <c r="Y127" s="79" t="n"/>
      <c r="Z127" s="79" t="n"/>
    </row>
    <row r="128">
      <c r="A128" s="77" t="n"/>
      <c r="B128" s="78" t="n">
        <v>25091963290406</v>
      </c>
      <c r="C128" s="58" t="n"/>
      <c r="D128" s="65" t="n"/>
      <c r="E128" s="62" t="n">
        <v>701648</v>
      </c>
      <c r="F128" s="63" t="inlineStr">
        <is>
          <t>Somrt Mondl mondal</t>
        </is>
      </c>
      <c r="G128" s="60" t="n">
        <v>1889539357</v>
      </c>
      <c r="H128" s="66" t="inlineStr">
        <is>
          <t>Madaripur</t>
        </is>
      </c>
      <c r="I128" s="63" t="inlineStr">
        <is>
          <t>Electronics</t>
        </is>
      </c>
      <c r="J128" s="63" t="inlineStr">
        <is>
          <t>Mobiles  Tablets</t>
        </is>
      </c>
      <c r="K128" s="62" t="n">
        <v>199</v>
      </c>
      <c r="L128" s="63" t="inlineStr">
        <is>
          <t>Mobile Lens Protector Ring Matal Glass For Redmi Note 13 5G Note 13 Pro 5G Note 13 Pro Plus 2 Ta Camera Ring Lens Protector</t>
        </is>
      </c>
      <c r="M128" s="79" t="n"/>
      <c r="N128" s="79" t="n"/>
      <c r="O128" s="79" t="n"/>
      <c r="P128" s="79" t="n"/>
      <c r="Q128" s="79" t="n"/>
      <c r="R128" s="79" t="n"/>
      <c r="S128" s="79" t="n"/>
      <c r="T128" s="79" t="n"/>
      <c r="U128" s="79" t="n"/>
      <c r="V128" s="79" t="n"/>
      <c r="W128" s="79" t="n"/>
      <c r="X128" s="79" t="n"/>
      <c r="Y128" s="79" t="n"/>
      <c r="Z128" s="79" t="n"/>
    </row>
    <row r="129">
      <c r="A129" s="77" t="n"/>
      <c r="B129" s="78" t="n">
        <v>25092137627687</v>
      </c>
      <c r="C129" s="58" t="n"/>
      <c r="D129" s="65" t="n"/>
      <c r="E129" s="62" t="n">
        <v>708726</v>
      </c>
      <c r="F129" s="63" t="inlineStr">
        <is>
          <t xml:space="preserve">Khan Mohammad Raja </t>
        </is>
      </c>
      <c r="G129" s="60" t="n">
        <v>1995707078</v>
      </c>
      <c r="H129" s="66" t="inlineStr">
        <is>
          <t>Madaripur</t>
        </is>
      </c>
      <c r="I129" s="63" t="inlineStr">
        <is>
          <t>FMCG</t>
        </is>
      </c>
      <c r="J129" s="63" t="inlineStr">
        <is>
          <t>Health  Beauty</t>
        </is>
      </c>
      <c r="K129" s="62" t="n">
        <v>490</v>
      </c>
      <c r="L129" s="63" t="inlineStr">
        <is>
          <t>AT-522 Rechargeable Cordless Trimmer For Men</t>
        </is>
      </c>
      <c r="M129" s="79" t="n"/>
      <c r="N129" s="79" t="n"/>
      <c r="O129" s="79" t="n"/>
      <c r="P129" s="79" t="n"/>
      <c r="Q129" s="79" t="n"/>
      <c r="R129" s="79" t="n"/>
      <c r="S129" s="79" t="n"/>
      <c r="T129" s="79" t="n"/>
      <c r="U129" s="79" t="n"/>
      <c r="V129" s="79" t="n"/>
      <c r="W129" s="79" t="n"/>
      <c r="X129" s="79" t="n"/>
      <c r="Y129" s="79" t="n"/>
      <c r="Z129" s="79" t="n"/>
    </row>
    <row r="130">
      <c r="A130" s="77" t="n"/>
      <c r="B130" s="78" t="n">
        <v>25091621200450</v>
      </c>
      <c r="C130" s="63" t="inlineStr">
        <is>
          <t>Arefin</t>
        </is>
      </c>
      <c r="D130" s="65" t="n"/>
      <c r="E130" s="62" t="n">
        <v>692373</v>
      </c>
      <c r="F130" s="63" t="inlineStr">
        <is>
          <t>md Sujon isLam</t>
        </is>
      </c>
      <c r="G130" s="60" t="n">
        <v>1847181643</v>
      </c>
      <c r="H130" s="61" t="inlineStr">
        <is>
          <t>Lalmonirhat</t>
        </is>
      </c>
      <c r="I130" s="63" t="inlineStr">
        <is>
          <t>Lifestyle</t>
        </is>
      </c>
      <c r="J130" s="63" t="inlineStr">
        <is>
          <t>Tools, DIY  Outdoor</t>
        </is>
      </c>
      <c r="K130" s="62" t="n">
        <v>196</v>
      </c>
      <c r="L130" s="63" t="inlineStr">
        <is>
          <t>ডিজিটাল ভোল্টেজ মিটার ডিসপ্লে সহ xl 6009 4a বুস্ট স্টেপ-আপ মডিউল পাওয়ার সাপ্লাই led ভোল্টমিটার অ্যাডজাস্টেবল বুস্ট মডিউল</t>
        </is>
      </c>
      <c r="M130" s="79" t="inlineStr">
        <is>
          <t>Not Connected</t>
        </is>
      </c>
      <c r="N130" s="79" t="n"/>
      <c r="O130" s="79" t="n"/>
      <c r="P130" s="79" t="n"/>
      <c r="Q130" s="79" t="n"/>
      <c r="R130" s="79" t="n"/>
      <c r="S130" s="79" t="n"/>
      <c r="T130" s="79" t="n"/>
      <c r="U130" s="79" t="n"/>
      <c r="V130" s="79" t="n"/>
      <c r="W130" s="79" t="n"/>
      <c r="X130" s="79" t="n"/>
      <c r="Y130" s="79" t="n"/>
      <c r="Z130" s="79" t="n"/>
    </row>
    <row r="131">
      <c r="A131" s="77" t="n"/>
      <c r="B131" s="78" t="n">
        <v>25091621604751</v>
      </c>
      <c r="C131" s="63" t="inlineStr">
        <is>
          <t>Arefin</t>
        </is>
      </c>
      <c r="D131" s="65" t="n"/>
      <c r="E131" s="62" t="n">
        <v>692801</v>
      </c>
      <c r="F131" s="63" t="inlineStr">
        <is>
          <t xml:space="preserve">Md. Rejaul Kobir Reja </t>
        </is>
      </c>
      <c r="G131" s="60" t="n">
        <v>1701703198</v>
      </c>
      <c r="H131" s="61" t="inlineStr">
        <is>
          <t>Lalmonirhat</t>
        </is>
      </c>
      <c r="I131" s="63" t="inlineStr">
        <is>
          <t>Electronics</t>
        </is>
      </c>
      <c r="J131" s="63" t="inlineStr">
        <is>
          <t>Mobiles  Tablets</t>
        </is>
      </c>
      <c r="K131" s="62" t="n">
        <v>99</v>
      </c>
      <c r="L131" s="63" t="inlineStr">
        <is>
          <t>smart mobile phone stand Rotate Aluminum Alloy Portable Tablet Holder</t>
        </is>
      </c>
      <c r="M131" s="79" t="inlineStr">
        <is>
          <t>Not Connected</t>
        </is>
      </c>
      <c r="N131" s="79" t="n"/>
      <c r="O131" s="79" t="n"/>
      <c r="P131" s="79" t="n"/>
      <c r="Q131" s="79" t="n"/>
      <c r="R131" s="79" t="n"/>
      <c r="S131" s="79" t="n"/>
      <c r="T131" s="79" t="n"/>
      <c r="U131" s="79" t="n"/>
      <c r="V131" s="79" t="n"/>
      <c r="W131" s="79" t="n"/>
      <c r="X131" s="79" t="n"/>
      <c r="Y131" s="79" t="n"/>
      <c r="Z131" s="79" t="n"/>
    </row>
    <row r="132">
      <c r="A132" s="77" t="n"/>
      <c r="B132" s="78" t="n">
        <v>25091658738898</v>
      </c>
      <c r="C132" s="58" t="n"/>
      <c r="D132" s="65" t="n"/>
      <c r="E132" s="62" t="n">
        <v>693160</v>
      </c>
      <c r="F132" s="63" t="inlineStr">
        <is>
          <t>Labu islam</t>
        </is>
      </c>
      <c r="G132" s="60" t="n">
        <v>1314292404</v>
      </c>
      <c r="H132" s="61" t="inlineStr">
        <is>
          <t>Lalmonirhat</t>
        </is>
      </c>
      <c r="I132" s="63" t="inlineStr">
        <is>
          <t>Electronics</t>
        </is>
      </c>
      <c r="J132" s="63" t="inlineStr">
        <is>
          <t>Mobiles  Tablets</t>
        </is>
      </c>
      <c r="K132" s="62" t="n">
        <v>276</v>
      </c>
      <c r="L132" s="63" t="inlineStr">
        <is>
          <t>Realme 6 - Soft TPU Crystal Transparent Back Case</t>
        </is>
      </c>
      <c r="M132" s="79" t="inlineStr">
        <is>
          <t xml:space="preserve">Connected </t>
        </is>
      </c>
      <c r="N132" s="79" t="inlineStr">
        <is>
          <t>Yes</t>
        </is>
      </c>
      <c r="O132" s="79" t="inlineStr">
        <is>
          <t>Wrong Item</t>
        </is>
      </c>
      <c r="P132" s="79" t="n"/>
      <c r="Q132" s="79" t="n"/>
      <c r="R132" s="79" t="inlineStr">
        <is>
          <t>Yes (in time)</t>
        </is>
      </c>
      <c r="S132" s="79" t="inlineStr">
        <is>
          <t>Yes (resolved)</t>
        </is>
      </c>
      <c r="T132" s="79" t="inlineStr">
        <is>
          <t>Not required</t>
        </is>
      </c>
      <c r="U132" s="79" t="n"/>
      <c r="V132" s="79" t="n"/>
      <c r="W132" s="79" t="n"/>
      <c r="X132" s="79" t="n"/>
      <c r="Y132" s="79" t="n"/>
      <c r="Z132" s="79" t="n"/>
    </row>
    <row r="133">
      <c r="A133" s="77" t="n"/>
      <c r="B133" s="78" t="n">
        <v>25091837163793</v>
      </c>
      <c r="C133" s="58" t="n"/>
      <c r="D133" s="65" t="n"/>
      <c r="E133" s="62" t="n">
        <v>697123</v>
      </c>
      <c r="F133" s="63" t="inlineStr">
        <is>
          <t xml:space="preserve">Lholil Islam </t>
        </is>
      </c>
      <c r="G133" s="60" t="n">
        <v>1581701565</v>
      </c>
      <c r="H133" s="61" t="inlineStr">
        <is>
          <t>Lalmonirhat</t>
        </is>
      </c>
      <c r="I133" s="63" t="inlineStr">
        <is>
          <t>Fashion</t>
        </is>
      </c>
      <c r="J133" s="63" t="inlineStr">
        <is>
          <t>Bags and Travel</t>
        </is>
      </c>
      <c r="K133" s="62" t="n">
        <v>114</v>
      </c>
      <c r="L133" s="63" t="inlineStr">
        <is>
          <t>Chest Bag Fashion New Solid Color Men Chest Bag Outdoor Casual Fashion One Shoulder Crossbody Bag</t>
        </is>
      </c>
      <c r="M133" s="79" t="n"/>
      <c r="N133" s="79" t="n"/>
      <c r="O133" s="79" t="n"/>
      <c r="P133" s="79" t="n"/>
      <c r="Q133" s="79" t="n"/>
      <c r="R133" s="79" t="n"/>
      <c r="S133" s="79" t="n"/>
      <c r="T133" s="79" t="n"/>
      <c r="U133" s="79" t="n"/>
      <c r="V133" s="79" t="n"/>
      <c r="W133" s="79" t="n"/>
      <c r="X133" s="79" t="n"/>
      <c r="Y133" s="79" t="n"/>
      <c r="Z133" s="79" t="n"/>
    </row>
    <row r="134">
      <c r="A134" s="77" t="n"/>
      <c r="B134" s="78" t="n">
        <v>25091615185777</v>
      </c>
      <c r="C134" s="58" t="n"/>
      <c r="D134" s="65" t="n"/>
      <c r="E134" s="62" t="n">
        <v>568513</v>
      </c>
      <c r="F134" s="63" t="inlineStr">
        <is>
          <t>Fahim hasan Rakib</t>
        </is>
      </c>
      <c r="G134" s="60" t="n">
        <v>1326244864</v>
      </c>
      <c r="H134" s="61" t="inlineStr">
        <is>
          <t>Lakshmipur</t>
        </is>
      </c>
      <c r="I134" s="63" t="inlineStr">
        <is>
          <t>Lifestyle</t>
        </is>
      </c>
      <c r="J134" s="63" t="inlineStr">
        <is>
          <t>Laundry  Cleaning</t>
        </is>
      </c>
      <c r="K134" s="62" t="n">
        <v>138</v>
      </c>
      <c r="L134" s="63" t="inlineStr">
        <is>
          <t>Nylon Rubber coated Hand Gloves 3 pair</t>
        </is>
      </c>
      <c r="M134" s="79" t="inlineStr">
        <is>
          <t xml:space="preserve">Connected </t>
        </is>
      </c>
      <c r="N134" s="79" t="inlineStr">
        <is>
          <t>Yes</t>
        </is>
      </c>
      <c r="O134" s="79" t="inlineStr">
        <is>
          <t>Delivery agent didn’t come</t>
        </is>
      </c>
      <c r="P134" s="79" t="inlineStr">
        <is>
          <t>Delivery delayed</t>
        </is>
      </c>
      <c r="Q134" s="79" t="n"/>
      <c r="R134" s="79" t="inlineStr">
        <is>
          <t>No</t>
        </is>
      </c>
      <c r="S134" s="79" t="inlineStr">
        <is>
          <t>No</t>
        </is>
      </c>
      <c r="T134" s="79" t="inlineStr">
        <is>
          <t>Not required</t>
        </is>
      </c>
      <c r="U134" s="80" t="inlineStr">
        <is>
          <t>The customer hasn't received a call from the delivery team for the delivery</t>
        </is>
      </c>
      <c r="V134" s="79" t="n"/>
      <c r="W134" s="79" t="n">
        <v>5</v>
      </c>
      <c r="X134" s="81" t="inlineStr">
        <is>
          <t>The customer expected something better from CartUp</t>
        </is>
      </c>
      <c r="Y134" s="79" t="inlineStr">
        <is>
          <t>Negative</t>
        </is>
      </c>
      <c r="Z134" s="79" t="n"/>
    </row>
    <row r="135">
      <c r="A135" s="77" t="n"/>
      <c r="B135" s="78" t="n">
        <v>25091798575628</v>
      </c>
      <c r="C135" s="58" t="n"/>
      <c r="D135" s="65" t="n"/>
      <c r="E135" s="62" t="n">
        <v>569212</v>
      </c>
      <c r="F135" s="63" t="inlineStr">
        <is>
          <t xml:space="preserve">Md.imtiaz Mahumud </t>
        </is>
      </c>
      <c r="G135" s="60" t="n">
        <v>1624708220</v>
      </c>
      <c r="H135" s="66" t="inlineStr">
        <is>
          <t>Lakshmipur</t>
        </is>
      </c>
      <c r="I135" s="63" t="inlineStr">
        <is>
          <t>Electronics</t>
        </is>
      </c>
      <c r="J135" s="63" t="inlineStr">
        <is>
          <t>TV, Audio / Video, Gaming  Wearables</t>
        </is>
      </c>
      <c r="K135" s="62" t="n">
        <v>465</v>
      </c>
      <c r="L135" s="63" t="inlineStr">
        <is>
          <t>KTS 1183 Portable Wireless Bluetooth Speaker with Flashlight Support Mic / Fm / SD Card / Pendrive</t>
        </is>
      </c>
      <c r="M135" s="79" t="inlineStr">
        <is>
          <t>Not Connected</t>
        </is>
      </c>
      <c r="N135" s="79" t="n"/>
      <c r="O135" s="79" t="n"/>
      <c r="P135" s="79" t="n"/>
      <c r="Q135" s="79" t="n"/>
      <c r="R135" s="79" t="n"/>
      <c r="S135" s="79" t="n"/>
      <c r="T135" s="79" t="n"/>
      <c r="U135" s="79" t="n"/>
      <c r="V135" s="79" t="n"/>
      <c r="W135" s="79" t="n"/>
      <c r="X135" s="79" t="n"/>
      <c r="Y135" s="79" t="n"/>
      <c r="Z135" s="79" t="n"/>
    </row>
    <row r="136">
      <c r="A136" s="77" t="n"/>
      <c r="B136" s="78" t="n">
        <v>25091897080184</v>
      </c>
      <c r="C136" s="58" t="n"/>
      <c r="D136" s="65" t="n"/>
      <c r="E136" s="62" t="n">
        <v>699593</v>
      </c>
      <c r="F136" s="63" t="inlineStr">
        <is>
          <t xml:space="preserve">Mr./Ms. </t>
        </is>
      </c>
      <c r="G136" s="60" t="n">
        <v>1832091690</v>
      </c>
      <c r="H136" s="61" t="inlineStr">
        <is>
          <t>Lakshmipur</t>
        </is>
      </c>
      <c r="I136" s="63" t="inlineStr">
        <is>
          <t>FMCG</t>
        </is>
      </c>
      <c r="J136" s="63" t="inlineStr">
        <is>
          <t>Health  Beauty</t>
        </is>
      </c>
      <c r="K136" s="62" t="n">
        <v>1229</v>
      </c>
      <c r="L136" s="63" t="inlineStr">
        <is>
          <t>Realme DIZO Trimmer Neo</t>
        </is>
      </c>
      <c r="M136" s="79" t="n"/>
      <c r="N136" s="79" t="n"/>
      <c r="O136" s="79" t="n"/>
      <c r="P136" s="79" t="n"/>
      <c r="Q136" s="79" t="n"/>
      <c r="R136" s="79" t="n"/>
      <c r="S136" s="79" t="n"/>
      <c r="T136" s="79" t="n"/>
      <c r="U136" s="79" t="n"/>
      <c r="V136" s="79" t="n"/>
      <c r="W136" s="79" t="n"/>
      <c r="X136" s="79" t="n"/>
      <c r="Y136" s="79" t="n"/>
      <c r="Z136" s="79" t="n"/>
    </row>
    <row r="137">
      <c r="A137" s="77" t="n"/>
      <c r="B137" s="78" t="n">
        <v>25091944308180</v>
      </c>
      <c r="C137" s="58" t="n"/>
      <c r="D137" s="65" t="n"/>
      <c r="E137" s="62" t="n">
        <v>702146</v>
      </c>
      <c r="F137" s="63" t="inlineStr">
        <is>
          <t xml:space="preserve">Mr./Ms. </t>
        </is>
      </c>
      <c r="G137" s="60" t="n">
        <v>1823652368</v>
      </c>
      <c r="H137" s="66" t="inlineStr">
        <is>
          <t>Lakshmipur</t>
        </is>
      </c>
      <c r="I137" s="63" t="inlineStr">
        <is>
          <t>Fashion</t>
        </is>
      </c>
      <c r="J137" s="63" t="inlineStr">
        <is>
          <t>Watches Sunglasses Jewellery</t>
        </is>
      </c>
      <c r="K137" s="62" t="n">
        <v>3644</v>
      </c>
      <c r="L137" s="63" t="inlineStr">
        <is>
          <t>Casio MTP-VT01L-1BUDF Men's Minimalistic Black Dial Leather Watch</t>
        </is>
      </c>
      <c r="M137" s="79" t="n"/>
      <c r="N137" s="79" t="n"/>
      <c r="O137" s="79" t="n"/>
      <c r="P137" s="79" t="n"/>
      <c r="Q137" s="79" t="n"/>
      <c r="R137" s="79" t="n"/>
      <c r="S137" s="79" t="n"/>
      <c r="T137" s="79" t="n"/>
      <c r="U137" s="79" t="n"/>
      <c r="V137" s="79" t="n"/>
      <c r="W137" s="79" t="n"/>
      <c r="X137" s="79" t="n"/>
      <c r="Y137" s="79" t="n"/>
      <c r="Z137" s="79" t="n"/>
    </row>
    <row r="138">
      <c r="A138" s="77" t="n"/>
      <c r="B138" s="78" t="n">
        <v>25091995343160</v>
      </c>
      <c r="C138" s="58" t="n"/>
      <c r="D138" s="65" t="n"/>
      <c r="E138" s="62" t="n">
        <v>700998</v>
      </c>
      <c r="F138" s="63" t="inlineStr">
        <is>
          <t xml:space="preserve">Mr./Ms. </t>
        </is>
      </c>
      <c r="G138" s="60" t="n">
        <v>1756553209</v>
      </c>
      <c r="H138" s="61" t="inlineStr">
        <is>
          <t>Kushtia</t>
        </is>
      </c>
      <c r="I138" s="63" t="inlineStr">
        <is>
          <t>Fashion</t>
        </is>
      </c>
      <c r="J138" s="63" t="inlineStr">
        <is>
          <t>Bags and Travel</t>
        </is>
      </c>
      <c r="K138" s="62" t="n">
        <v>331</v>
      </c>
      <c r="L138" s="63" t="inlineStr">
        <is>
          <t>Bullcaptain Cowhide 99.99 Leather Men Wallet Coin Purse Small Mini Card Holder Vintage Portfolio Portomonee Male Walet Pocket - Wallet</t>
        </is>
      </c>
      <c r="M138" s="79" t="n"/>
      <c r="N138" s="79" t="n"/>
      <c r="O138" s="79" t="n"/>
      <c r="P138" s="79" t="n"/>
      <c r="Q138" s="79" t="n"/>
      <c r="R138" s="79" t="n"/>
      <c r="S138" s="79" t="n"/>
      <c r="T138" s="79" t="n"/>
      <c r="U138" s="79" t="n"/>
      <c r="V138" s="79" t="n"/>
      <c r="W138" s="79" t="n"/>
      <c r="X138" s="79" t="n"/>
      <c r="Y138" s="79" t="n"/>
      <c r="Z138" s="79" t="n"/>
    </row>
    <row r="139">
      <c r="A139" s="77" t="n"/>
      <c r="B139" s="78" t="n">
        <v>25092015969516</v>
      </c>
      <c r="C139" s="58" t="n"/>
      <c r="D139" s="65" t="n"/>
      <c r="E139" s="62" t="n">
        <v>706045</v>
      </c>
      <c r="F139" s="63" t="inlineStr">
        <is>
          <t xml:space="preserve">Akter Hossain </t>
        </is>
      </c>
      <c r="G139" s="60" t="n">
        <v>1700871888</v>
      </c>
      <c r="H139" s="61" t="inlineStr">
        <is>
          <t>Kushtia</t>
        </is>
      </c>
      <c r="I139" s="63" t="inlineStr">
        <is>
          <t>Lifestyle</t>
        </is>
      </c>
      <c r="J139" s="63" t="inlineStr">
        <is>
          <t>Tools, DIY  Outdoor</t>
        </is>
      </c>
      <c r="K139" s="62" t="n">
        <v>374</v>
      </c>
      <c r="L139" s="63" t="inlineStr">
        <is>
          <t>BLDC Brushless Fan Motor 12V Fan Core 3 Blades High Air Flow 6 inch</t>
        </is>
      </c>
      <c r="M139" s="79" t="n"/>
      <c r="N139" s="79" t="n"/>
      <c r="O139" s="79" t="n"/>
      <c r="P139" s="79" t="n"/>
      <c r="Q139" s="79" t="n"/>
      <c r="R139" s="79" t="n"/>
      <c r="S139" s="79" t="n"/>
      <c r="T139" s="79" t="n"/>
      <c r="U139" s="79" t="n"/>
      <c r="V139" s="79" t="n"/>
      <c r="W139" s="79" t="n"/>
      <c r="X139" s="79" t="n"/>
      <c r="Y139" s="79" t="n"/>
      <c r="Z139" s="79" t="n"/>
    </row>
    <row r="140">
      <c r="A140" s="77" t="n"/>
      <c r="B140" s="78" t="n">
        <v>25092517153645</v>
      </c>
      <c r="C140" s="58" t="n"/>
      <c r="D140" s="65" t="n"/>
      <c r="E140" s="62" t="n">
        <v>697798</v>
      </c>
      <c r="F140" s="63" t="inlineStr">
        <is>
          <t xml:space="preserve">Sumaiya Afrin </t>
        </is>
      </c>
      <c r="G140" s="60" t="n">
        <v>1951833681</v>
      </c>
      <c r="H140" s="61" t="inlineStr">
        <is>
          <t>Kushtia</t>
        </is>
      </c>
      <c r="I140" s="63" t="inlineStr">
        <is>
          <t>Lifestyle</t>
        </is>
      </c>
      <c r="J140" s="63" t="inlineStr">
        <is>
          <t>Motors</t>
        </is>
      </c>
      <c r="K140" s="62" t="n">
        <v>1995</v>
      </c>
      <c r="L140" s="63" t="inlineStr">
        <is>
          <t>Flamingo Crystal Coating 250ml, Ceramic Coating for Motorcycle / Car Paint Care Nano Hydrophobic Coating Waterproof High Gloss Shine Liquid Polish Wax</t>
        </is>
      </c>
      <c r="M140" s="79" t="n"/>
      <c r="N140" s="79" t="n"/>
      <c r="O140" s="79" t="n"/>
      <c r="P140" s="79" t="n"/>
      <c r="Q140" s="79" t="n"/>
      <c r="R140" s="79" t="n"/>
      <c r="S140" s="79" t="n"/>
      <c r="T140" s="79" t="n"/>
      <c r="U140" s="79" t="n"/>
      <c r="V140" s="79" t="n"/>
      <c r="W140" s="79" t="n"/>
      <c r="X140" s="79" t="n"/>
      <c r="Y140" s="79" t="n"/>
      <c r="Z140" s="79" t="n"/>
    </row>
    <row r="141">
      <c r="A141" s="77" t="n"/>
      <c r="B141" s="78" t="n">
        <v>25092524103845</v>
      </c>
      <c r="C141" s="58" t="n"/>
      <c r="D141" s="65" t="n"/>
      <c r="E141" s="62" t="n">
        <v>685937</v>
      </c>
      <c r="F141" s="63" t="inlineStr">
        <is>
          <t xml:space="preserve">Tutul Hossain </t>
        </is>
      </c>
      <c r="G141" s="60" t="n">
        <v>1798001189</v>
      </c>
      <c r="H141" s="61" t="inlineStr">
        <is>
          <t>Kushtia</t>
        </is>
      </c>
      <c r="I141" s="63" t="inlineStr">
        <is>
          <t>Lifestyle</t>
        </is>
      </c>
      <c r="J141" s="63" t="inlineStr">
        <is>
          <t>Kitchen  Dining</t>
        </is>
      </c>
      <c r="K141" s="62" t="n">
        <v>218</v>
      </c>
      <c r="L141" s="63" t="inlineStr">
        <is>
          <t>Divided Plate 4 Section - Round 4 Compartment Stainless Steel Plate</t>
        </is>
      </c>
      <c r="M141" s="79" t="n"/>
      <c r="N141" s="79" t="n"/>
      <c r="O141" s="79" t="n"/>
      <c r="P141" s="79" t="n"/>
      <c r="Q141" s="79" t="n"/>
      <c r="R141" s="79" t="n"/>
      <c r="S141" s="79" t="n"/>
      <c r="T141" s="79" t="n"/>
      <c r="U141" s="79" t="n"/>
      <c r="V141" s="79" t="n"/>
      <c r="W141" s="79" t="n"/>
      <c r="X141" s="79" t="n"/>
      <c r="Y141" s="79" t="n"/>
      <c r="Z141" s="79" t="n"/>
    </row>
    <row r="142">
      <c r="A142" s="77" t="n"/>
      <c r="B142" s="78" t="n">
        <v>25091636449708</v>
      </c>
      <c r="C142" s="63" t="inlineStr">
        <is>
          <t>Arefin</t>
        </is>
      </c>
      <c r="D142" s="65" t="n"/>
      <c r="E142" s="62" t="n">
        <v>660619</v>
      </c>
      <c r="F142" s="63" t="inlineStr">
        <is>
          <t xml:space="preserve">Mr./Ms. </t>
        </is>
      </c>
      <c r="G142" s="60" t="n">
        <v>1748861252</v>
      </c>
      <c r="H142" s="61" t="inlineStr">
        <is>
          <t>Kurigram</t>
        </is>
      </c>
      <c r="I142" s="63" t="inlineStr">
        <is>
          <t>Electronics</t>
        </is>
      </c>
      <c r="J142" s="63" t="inlineStr">
        <is>
          <t>Computers  Laptops</t>
        </is>
      </c>
      <c r="K142" s="62" t="n">
        <v>457</v>
      </c>
      <c r="L142" s="63" t="inlineStr">
        <is>
          <t>100 Watt Solar inverter 12V DC To 220V AC Converter Inverter</t>
        </is>
      </c>
      <c r="M142" s="79" t="inlineStr">
        <is>
          <t>Not Connected</t>
        </is>
      </c>
      <c r="N142" s="79" t="n"/>
      <c r="O142" s="79" t="n"/>
      <c r="P142" s="79" t="n"/>
      <c r="Q142" s="79" t="n"/>
      <c r="R142" s="79" t="n"/>
      <c r="S142" s="79" t="n"/>
      <c r="T142" s="79" t="n"/>
      <c r="U142" s="79" t="n"/>
      <c r="V142" s="79" t="n"/>
      <c r="W142" s="79" t="n"/>
      <c r="X142" s="79" t="n"/>
      <c r="Y142" s="79" t="n"/>
      <c r="Z142" s="79" t="n"/>
    </row>
    <row r="143">
      <c r="A143" s="77" t="n"/>
      <c r="B143" s="78" t="n">
        <v>25091898668007</v>
      </c>
      <c r="C143" s="58" t="n"/>
      <c r="D143" s="65" t="n"/>
      <c r="E143" s="62" t="n">
        <v>698643</v>
      </c>
      <c r="F143" s="63" t="inlineStr">
        <is>
          <t xml:space="preserve">Rasedul </t>
        </is>
      </c>
      <c r="G143" s="60" t="n">
        <v>1723387107</v>
      </c>
      <c r="H143" s="61" t="inlineStr">
        <is>
          <t>Kurigram</t>
        </is>
      </c>
      <c r="I143" s="63" t="inlineStr">
        <is>
          <t>Electronics</t>
        </is>
      </c>
      <c r="J143" s="63" t="inlineStr">
        <is>
          <t>Mobiles  Tablets</t>
        </is>
      </c>
      <c r="K143" s="62" t="n">
        <v>209</v>
      </c>
      <c r="L143" s="63" t="inlineStr">
        <is>
          <t>Motorola Moto G45 Silicone Back Cover For Smartphone Phone Case</t>
        </is>
      </c>
      <c r="M143" s="79" t="n"/>
      <c r="N143" s="79" t="n"/>
      <c r="O143" s="79" t="n"/>
      <c r="P143" s="79" t="n"/>
      <c r="Q143" s="79" t="n"/>
      <c r="R143" s="79" t="n"/>
      <c r="S143" s="79" t="n"/>
      <c r="T143" s="79" t="n"/>
      <c r="U143" s="79" t="n"/>
      <c r="V143" s="79" t="n"/>
      <c r="W143" s="79" t="n"/>
      <c r="X143" s="79" t="n"/>
      <c r="Y143" s="79" t="n"/>
      <c r="Z143" s="79" t="n"/>
    </row>
    <row r="144">
      <c r="A144" s="77" t="n"/>
      <c r="B144" s="78" t="n">
        <v>25092013981187</v>
      </c>
      <c r="C144" s="58" t="n"/>
      <c r="D144" s="65" t="n"/>
      <c r="E144" s="62" t="n">
        <v>705909</v>
      </c>
      <c r="F144" s="63" t="inlineStr">
        <is>
          <t xml:space="preserve">ɴᴀʜɪᴅ ʜᴀꜱꜱᴀɴ </t>
        </is>
      </c>
      <c r="G144" s="60" t="n">
        <v>1736837959</v>
      </c>
      <c r="H144" s="61" t="inlineStr">
        <is>
          <t>Kurigram</t>
        </is>
      </c>
      <c r="I144" s="63" t="inlineStr">
        <is>
          <t>Electronics</t>
        </is>
      </c>
      <c r="J144" s="63" t="inlineStr">
        <is>
          <t>TV, Audio / Video, Gaming  Wearables</t>
        </is>
      </c>
      <c r="K144" s="62" t="n">
        <v>269</v>
      </c>
      <c r="L144" s="63" t="inlineStr">
        <is>
          <t>(Realme) Buds Air Pro Wireless Earbuds Touch Control Device - Bluetooth Headphone - ব্লুটুথ হেডফোন</t>
        </is>
      </c>
      <c r="M144" s="79" t="n"/>
      <c r="N144" s="79" t="n"/>
      <c r="O144" s="79" t="n"/>
      <c r="P144" s="79" t="n"/>
      <c r="Q144" s="79" t="n"/>
      <c r="R144" s="79" t="n"/>
      <c r="S144" s="79" t="n"/>
      <c r="T144" s="79" t="n"/>
      <c r="U144" s="79" t="n"/>
      <c r="V144" s="79" t="n"/>
      <c r="W144" s="79" t="n"/>
      <c r="X144" s="79" t="n"/>
      <c r="Y144" s="79" t="n"/>
      <c r="Z144" s="79" t="n"/>
    </row>
    <row r="145">
      <c r="A145" s="77" t="n"/>
      <c r="B145" s="78" t="n">
        <v>25092211299372</v>
      </c>
      <c r="C145" s="58" t="n"/>
      <c r="D145" s="65" t="n"/>
      <c r="E145" s="62" t="n">
        <v>590365</v>
      </c>
      <c r="F145" s="63" t="inlineStr">
        <is>
          <t xml:space="preserve">Mr./Ms. </t>
        </is>
      </c>
      <c r="G145" s="60" t="n">
        <v>1728656402</v>
      </c>
      <c r="H145" s="66" t="inlineStr">
        <is>
          <t>Kurigram</t>
        </is>
      </c>
      <c r="I145" s="63" t="inlineStr">
        <is>
          <t>Lifestyle</t>
        </is>
      </c>
      <c r="J145" s="63" t="inlineStr">
        <is>
          <t>Media, Music  Books</t>
        </is>
      </c>
      <c r="K145" s="62" t="n">
        <v>36</v>
      </c>
      <c r="L145" s="63" t="inlineStr">
        <is>
          <t>Thumb Finger Guitar Pick Celluloid Mediator for Acoustic Electric Guitarra Bass Thickness 1.2mm - guitar strings</t>
        </is>
      </c>
      <c r="M145" s="79" t="n"/>
      <c r="N145" s="79" t="n"/>
      <c r="O145" s="79" t="n"/>
      <c r="P145" s="79" t="n"/>
      <c r="Q145" s="79" t="n"/>
      <c r="R145" s="79" t="n"/>
      <c r="S145" s="79" t="n"/>
      <c r="T145" s="79" t="n"/>
      <c r="U145" s="79" t="n"/>
      <c r="V145" s="79" t="n"/>
      <c r="W145" s="79" t="n"/>
      <c r="X145" s="79" t="n"/>
      <c r="Y145" s="79" t="n"/>
      <c r="Z145" s="79" t="n"/>
    </row>
    <row r="146">
      <c r="A146" s="77" t="n"/>
      <c r="B146" s="78" t="n">
        <v>25091617137856</v>
      </c>
      <c r="C146" s="58" t="n"/>
      <c r="D146" s="65" t="n"/>
      <c r="E146" s="62" t="n">
        <v>681016</v>
      </c>
      <c r="F146" s="63" t="inlineStr">
        <is>
          <t xml:space="preserve">Sadiya Mim </t>
        </is>
      </c>
      <c r="G146" s="60" t="n">
        <v>1930719325</v>
      </c>
      <c r="H146" s="66" t="inlineStr">
        <is>
          <t>Kishoreganj</t>
        </is>
      </c>
      <c r="I146" s="63" t="inlineStr">
        <is>
          <t>Lifestyle</t>
        </is>
      </c>
      <c r="J146" s="63" t="inlineStr">
        <is>
          <t>Laundry  Cleaning</t>
        </is>
      </c>
      <c r="K146" s="62" t="n">
        <v>60</v>
      </c>
      <c r="L146" s="63" t="inlineStr">
        <is>
          <t>Automatic Cleaning Essential Brush For Kitchen</t>
        </is>
      </c>
      <c r="M146" s="79" t="inlineStr">
        <is>
          <t xml:space="preserve">Connected </t>
        </is>
      </c>
      <c r="N146" s="79" t="inlineStr">
        <is>
          <t>Yes</t>
        </is>
      </c>
      <c r="O146" s="79" t="inlineStr">
        <is>
          <t>No one was home</t>
        </is>
      </c>
      <c r="P146" s="81" t="inlineStr">
        <is>
          <t>The customer provided feedback that sellers are unresponsive to their messages, and requested a solution</t>
        </is>
      </c>
      <c r="Q146" s="79" t="n"/>
      <c r="R146" s="79" t="inlineStr">
        <is>
          <t>Yes (in time)</t>
        </is>
      </c>
      <c r="S146" s="79" t="inlineStr">
        <is>
          <t>No</t>
        </is>
      </c>
      <c r="T146" s="79" t="inlineStr">
        <is>
          <t>Not required</t>
        </is>
      </c>
      <c r="U146" s="81" t="inlineStr">
        <is>
          <t>The customer provided feedback that sellers are unresponsive to their messages, and requested a solution</t>
        </is>
      </c>
      <c r="V146" s="79" t="n"/>
      <c r="W146" s="79" t="n">
        <v>6</v>
      </c>
      <c r="X146" s="81" t="n"/>
      <c r="Y146" s="79" t="inlineStr">
        <is>
          <t>Positive</t>
        </is>
      </c>
      <c r="Z146" s="79" t="n"/>
    </row>
    <row r="147">
      <c r="A147" s="77" t="n"/>
      <c r="B147" s="78" t="n">
        <v>25091969444988</v>
      </c>
      <c r="C147" s="58" t="n"/>
      <c r="D147" s="65" t="n"/>
      <c r="E147" s="62" t="n">
        <v>577997</v>
      </c>
      <c r="F147" s="63" t="inlineStr">
        <is>
          <t xml:space="preserve">Mr./Ms. </t>
        </is>
      </c>
      <c r="G147" s="60" t="n">
        <v>1942009125</v>
      </c>
      <c r="H147" s="61" t="inlineStr">
        <is>
          <t>Kishoreganj</t>
        </is>
      </c>
      <c r="I147" s="63" t="inlineStr">
        <is>
          <t>Lifestyle</t>
        </is>
      </c>
      <c r="J147" s="63" t="inlineStr">
        <is>
          <t>Media, Music  Books</t>
        </is>
      </c>
      <c r="K147" s="62" t="n">
        <v>3000</v>
      </c>
      <c r="L147" s="63" t="inlineStr">
        <is>
          <t>Cajon kahon Drum C01 Cajon + Bag</t>
        </is>
      </c>
      <c r="M147" s="79" t="n"/>
      <c r="N147" s="79" t="n"/>
      <c r="O147" s="79" t="n"/>
      <c r="P147" s="79" t="n"/>
      <c r="Q147" s="79" t="n"/>
      <c r="R147" s="79" t="n"/>
      <c r="S147" s="79" t="n"/>
      <c r="T147" s="79" t="n"/>
      <c r="U147" s="79" t="n"/>
      <c r="V147" s="79" t="n"/>
      <c r="W147" s="79" t="n"/>
      <c r="X147" s="79" t="n"/>
      <c r="Y147" s="79" t="n"/>
      <c r="Z147" s="79" t="n"/>
    </row>
    <row r="148">
      <c r="A148" s="77" t="n"/>
      <c r="B148" s="78" t="n">
        <v>25091992231505</v>
      </c>
      <c r="C148" s="58" t="n"/>
      <c r="D148" s="65" t="n"/>
      <c r="E148" s="62" t="n">
        <v>702703</v>
      </c>
      <c r="F148" s="63" t="inlineStr">
        <is>
          <t xml:space="preserve">Md Tofajall </t>
        </is>
      </c>
      <c r="G148" s="60" t="n">
        <v>1602727264</v>
      </c>
      <c r="H148" s="61" t="inlineStr">
        <is>
          <t>Kishoreganj</t>
        </is>
      </c>
      <c r="I148" s="63" t="inlineStr">
        <is>
          <t>FMCG</t>
        </is>
      </c>
      <c r="J148" s="63" t="inlineStr">
        <is>
          <t>Health  Beauty</t>
        </is>
      </c>
      <c r="K148" s="62" t="n">
        <v>459</v>
      </c>
      <c r="L148" s="63" t="inlineStr">
        <is>
          <t>HTC AT-1210 Hair And Beard Trimmer</t>
        </is>
      </c>
      <c r="M148" s="79" t="n"/>
      <c r="N148" s="79" t="n"/>
      <c r="O148" s="79" t="n"/>
      <c r="P148" s="79" t="n"/>
      <c r="Q148" s="79" t="n"/>
      <c r="R148" s="79" t="n"/>
      <c r="S148" s="79" t="n"/>
      <c r="T148" s="79" t="n"/>
      <c r="U148" s="79" t="n"/>
      <c r="V148" s="79" t="n"/>
      <c r="W148" s="79" t="n"/>
      <c r="X148" s="79" t="n"/>
      <c r="Y148" s="79" t="n"/>
      <c r="Z148" s="79" t="n"/>
    </row>
    <row r="149">
      <c r="A149" s="77" t="n"/>
      <c r="B149" s="78" t="n">
        <v>25092282603141</v>
      </c>
      <c r="C149" s="58" t="n"/>
      <c r="D149" s="65" t="n"/>
      <c r="E149" s="62" t="n">
        <v>648799</v>
      </c>
      <c r="F149" s="63" t="inlineStr">
        <is>
          <t xml:space="preserve">Mr./Ms. </t>
        </is>
      </c>
      <c r="G149" s="60" t="n">
        <v>1632418282</v>
      </c>
      <c r="H149" s="61" t="inlineStr">
        <is>
          <t>Kishoreganj</t>
        </is>
      </c>
      <c r="I149" s="63" t="inlineStr">
        <is>
          <t>Lifestyle</t>
        </is>
      </c>
      <c r="J149" s="63" t="inlineStr">
        <is>
          <t>Kitchen  Dining</t>
        </is>
      </c>
      <c r="K149" s="62" t="n">
        <v>65</v>
      </c>
      <c r="L149" s="63" t="inlineStr">
        <is>
          <t>Double-Layer Egg Dispenser Automatic Roll-Down Egg Storage Rack Slide Egg Carton Refrigerator Egg Basket Kitchen Countertop Egg Holder</t>
        </is>
      </c>
      <c r="M149" s="79" t="n"/>
      <c r="N149" s="79" t="n"/>
      <c r="O149" s="79" t="n"/>
      <c r="P149" s="79" t="n"/>
      <c r="Q149" s="79" t="n"/>
      <c r="R149" s="79" t="n"/>
      <c r="S149" s="79" t="n"/>
      <c r="T149" s="79" t="n"/>
      <c r="U149" s="79" t="n"/>
      <c r="V149" s="79" t="n"/>
      <c r="W149" s="79" t="n"/>
      <c r="X149" s="79" t="n"/>
      <c r="Y149" s="79" t="n"/>
      <c r="Z149" s="79" t="n"/>
    </row>
    <row r="150">
      <c r="A150" s="77" t="n"/>
      <c r="B150" s="78" t="n">
        <v>25091613968427</v>
      </c>
      <c r="C150" s="58" t="n"/>
      <c r="D150" s="65" t="n"/>
      <c r="E150" s="62" t="n">
        <v>659009</v>
      </c>
      <c r="F150" s="63" t="inlineStr">
        <is>
          <t xml:space="preserve">Prince Ajijul </t>
        </is>
      </c>
      <c r="G150" s="60" t="n">
        <v>1630094735</v>
      </c>
      <c r="H150" s="61" t="inlineStr">
        <is>
          <t>Khulna</t>
        </is>
      </c>
      <c r="I150" s="63" t="inlineStr">
        <is>
          <t>Fashion</t>
        </is>
      </c>
      <c r="J150" s="63" t="inlineStr">
        <is>
          <t>Fashion</t>
        </is>
      </c>
      <c r="K150" s="62" t="n">
        <v>356</v>
      </c>
      <c r="L150" s="63" t="inlineStr">
        <is>
          <t>T-Shirt  &amp; Pant Summer  Collection Exclusive</t>
        </is>
      </c>
      <c r="M150" s="79" t="inlineStr">
        <is>
          <t xml:space="preserve">Connected </t>
        </is>
      </c>
      <c r="N150" s="79" t="inlineStr">
        <is>
          <t>Yes</t>
        </is>
      </c>
      <c r="O150" s="79" t="inlineStr">
        <is>
          <t>No one was home</t>
        </is>
      </c>
      <c r="P150" s="79" t="n"/>
      <c r="Q150" s="79" t="n"/>
      <c r="R150" s="79" t="inlineStr">
        <is>
          <t>Yes (in time)</t>
        </is>
      </c>
      <c r="S150" s="79" t="inlineStr">
        <is>
          <t>No</t>
        </is>
      </c>
      <c r="T150" s="79" t="inlineStr">
        <is>
          <t>Not required</t>
        </is>
      </c>
      <c r="U150" s="70" t="n"/>
      <c r="V150" s="79" t="n"/>
      <c r="W150" s="79" t="n">
        <v>6</v>
      </c>
      <c r="X150" s="69" t="n"/>
      <c r="Y150" s="79" t="inlineStr">
        <is>
          <t>Neutral</t>
        </is>
      </c>
      <c r="Z150" s="79" t="n"/>
    </row>
    <row r="151">
      <c r="A151" s="77" t="n"/>
      <c r="B151" s="78" t="n">
        <v>25091644467797</v>
      </c>
      <c r="C151" s="63" t="inlineStr">
        <is>
          <t>Arefin</t>
        </is>
      </c>
      <c r="D151" s="65" t="n"/>
      <c r="E151" s="62" t="n">
        <v>659009</v>
      </c>
      <c r="F151" s="63" t="inlineStr">
        <is>
          <t xml:space="preserve">Prince Ajijul </t>
        </is>
      </c>
      <c r="G151" s="60" t="n">
        <v>1630094735</v>
      </c>
      <c r="H151" s="61" t="inlineStr">
        <is>
          <t>Khulna</t>
        </is>
      </c>
      <c r="I151" s="63" t="inlineStr">
        <is>
          <t>Fashion</t>
        </is>
      </c>
      <c r="J151" s="63" t="inlineStr">
        <is>
          <t>Fashion</t>
        </is>
      </c>
      <c r="K151" s="62" t="n">
        <v>307</v>
      </c>
      <c r="L151" s="63" t="inlineStr">
        <is>
          <t>Boys Denim Short Pant</t>
        </is>
      </c>
      <c r="M151" s="79" t="inlineStr">
        <is>
          <t xml:space="preserve">Connected </t>
        </is>
      </c>
      <c r="N151" s="79" t="inlineStr">
        <is>
          <t>Yes</t>
        </is>
      </c>
      <c r="O151" s="79" t="inlineStr">
        <is>
          <t>No one was home</t>
        </is>
      </c>
      <c r="P151" s="79" t="n"/>
      <c r="Q151" s="79" t="n"/>
      <c r="R151" s="79" t="inlineStr">
        <is>
          <t>Yes (last moment)</t>
        </is>
      </c>
      <c r="S151" s="79" t="inlineStr">
        <is>
          <t>No</t>
        </is>
      </c>
      <c r="T151" s="79" t="inlineStr">
        <is>
          <t>Didn’t try</t>
        </is>
      </c>
      <c r="U151" s="79" t="n"/>
      <c r="V151" s="79" t="n"/>
      <c r="W151" s="79" t="n">
        <v>6</v>
      </c>
      <c r="X151" s="79" t="n"/>
      <c r="Y151" s="79" t="inlineStr">
        <is>
          <t>Neutral</t>
        </is>
      </c>
      <c r="Z151" s="79" t="n"/>
    </row>
    <row r="152">
      <c r="A152" s="77" t="n"/>
      <c r="B152" s="78" t="n">
        <v>25091675933899</v>
      </c>
      <c r="C152" s="58" t="n"/>
      <c r="D152" s="65" t="n"/>
      <c r="E152" s="62" t="n">
        <v>659009</v>
      </c>
      <c r="F152" s="63" t="inlineStr">
        <is>
          <t xml:space="preserve">Prince Ajijul </t>
        </is>
      </c>
      <c r="G152" s="60" t="n">
        <v>1630094735</v>
      </c>
      <c r="H152" s="66" t="inlineStr">
        <is>
          <t>Khulna</t>
        </is>
      </c>
      <c r="I152" s="63" t="inlineStr">
        <is>
          <t>Fashion</t>
        </is>
      </c>
      <c r="J152" s="63" t="inlineStr">
        <is>
          <t>Watches Sunglasses Jewellery</t>
        </is>
      </c>
      <c r="K152" s="62" t="n">
        <v>249</v>
      </c>
      <c r="L152" s="63" t="inlineStr">
        <is>
          <t>Arabic Black Aura Watch – Sleek, Stylish &amp; Functional - Watch for Men</t>
        </is>
      </c>
      <c r="M152" s="79" t="inlineStr">
        <is>
          <t xml:space="preserve">Connected </t>
        </is>
      </c>
      <c r="N152" s="79" t="inlineStr">
        <is>
          <t>No</t>
        </is>
      </c>
      <c r="O152" s="79" t="n"/>
      <c r="P152" s="79" t="n"/>
      <c r="Q152" s="79" t="n"/>
      <c r="R152" s="79" t="n"/>
      <c r="S152" s="79" t="n"/>
      <c r="T152" s="79" t="n"/>
      <c r="U152" s="79" t="n"/>
      <c r="V152" s="79" t="n"/>
      <c r="W152" s="79" t="n"/>
      <c r="X152" s="79" t="n"/>
      <c r="Y152" s="79" t="n"/>
      <c r="Z152" s="79" t="n"/>
    </row>
    <row r="153">
      <c r="A153" s="77" t="n"/>
      <c r="B153" s="78" t="n">
        <v>25091758578088</v>
      </c>
      <c r="C153" s="58" t="n"/>
      <c r="D153" s="65" t="n"/>
      <c r="E153" s="62" t="n">
        <v>697327</v>
      </c>
      <c r="F153" s="63" t="inlineStr">
        <is>
          <t xml:space="preserve">Mr./Ms. </t>
        </is>
      </c>
      <c r="G153" s="60" t="n">
        <v>1601157536</v>
      </c>
      <c r="H153" s="61" t="inlineStr">
        <is>
          <t>Khulna</t>
        </is>
      </c>
      <c r="I153" s="63" t="inlineStr">
        <is>
          <t>Lifestyle</t>
        </is>
      </c>
      <c r="J153" s="63" t="inlineStr">
        <is>
          <t>Tools, DIY  Outdoor</t>
        </is>
      </c>
      <c r="K153" s="62" t="n">
        <v>240</v>
      </c>
      <c r="L153" s="63" t="inlineStr">
        <is>
          <t>DC 3v-6v to 400kV 400000V Boost Step-up Power Module High-Voltage Generator KG493</t>
        </is>
      </c>
      <c r="M153" s="79" t="inlineStr">
        <is>
          <t>Not Connected</t>
        </is>
      </c>
      <c r="N153" s="79" t="n"/>
      <c r="O153" s="79" t="n"/>
      <c r="P153" s="79" t="n"/>
      <c r="Q153" s="79" t="n"/>
      <c r="R153" s="79" t="n"/>
      <c r="S153" s="79" t="n"/>
      <c r="T153" s="79" t="n"/>
      <c r="U153" s="79" t="n"/>
      <c r="V153" s="79" t="n"/>
      <c r="W153" s="79" t="n"/>
      <c r="X153" s="79" t="n"/>
      <c r="Y153" s="79" t="n"/>
      <c r="Z153" s="79" t="n"/>
    </row>
    <row r="154">
      <c r="A154" s="77" t="n"/>
      <c r="B154" s="78" t="n">
        <v>25091648943399</v>
      </c>
      <c r="C154" s="63" t="inlineStr">
        <is>
          <t>Arefin</t>
        </is>
      </c>
      <c r="D154" s="65" t="n"/>
      <c r="E154" s="62" t="n">
        <v>680439</v>
      </c>
      <c r="F154" s="63" t="inlineStr">
        <is>
          <t xml:space="preserve">Srejon Chakma </t>
        </is>
      </c>
      <c r="G154" s="60" t="n">
        <v>1610202012</v>
      </c>
      <c r="H154" s="61" t="inlineStr">
        <is>
          <t>Khagrachari</t>
        </is>
      </c>
      <c r="I154" s="63" t="inlineStr">
        <is>
          <t>Lifestyle</t>
        </is>
      </c>
      <c r="J154" s="63" t="inlineStr">
        <is>
          <t>Motors</t>
        </is>
      </c>
      <c r="K154" s="62" t="n">
        <v>344</v>
      </c>
      <c r="L154" s="63" t="inlineStr">
        <is>
          <t>Waterproof And Dust Resistant Motorcycle Cover For All Weather Outdoor Protection</t>
        </is>
      </c>
      <c r="M154" s="79" t="inlineStr">
        <is>
          <t xml:space="preserve">Connected </t>
        </is>
      </c>
      <c r="N154" s="79" t="inlineStr">
        <is>
          <t>No</t>
        </is>
      </c>
      <c r="O154" s="79" t="n"/>
      <c r="P154" s="79" t="n"/>
      <c r="Q154" s="79" t="n"/>
      <c r="R154" s="79" t="n"/>
      <c r="S154" s="79" t="n"/>
      <c r="T154" s="79" t="n"/>
      <c r="U154" s="79" t="n"/>
      <c r="V154" s="79" t="n"/>
      <c r="W154" s="79" t="n"/>
      <c r="X154" s="79" t="n"/>
      <c r="Y154" s="79" t="n"/>
      <c r="Z154" s="79" t="n"/>
    </row>
    <row r="155">
      <c r="A155" s="77" t="n"/>
      <c r="B155" s="78" t="n">
        <v>25091696881532</v>
      </c>
      <c r="C155" s="58" t="n"/>
      <c r="D155" s="65" t="n"/>
      <c r="E155" s="62" t="n">
        <v>691545</v>
      </c>
      <c r="F155" s="63" t="inlineStr">
        <is>
          <t xml:space="preserve">Mr./Ms. </t>
        </is>
      </c>
      <c r="G155" s="60" t="n">
        <v>1607566880</v>
      </c>
      <c r="H155" s="66" t="inlineStr">
        <is>
          <t>Khagrachari</t>
        </is>
      </c>
      <c r="I155" s="63" t="inlineStr">
        <is>
          <t>Lifestyle</t>
        </is>
      </c>
      <c r="J155" s="63" t="inlineStr">
        <is>
          <t>Motors</t>
        </is>
      </c>
      <c r="K155" s="62" t="n">
        <v>436</v>
      </c>
      <c r="L155" s="63" t="inlineStr">
        <is>
          <t>Best Quality Motorcyle VIP Horn - 1pc</t>
        </is>
      </c>
      <c r="M155" s="79" t="inlineStr">
        <is>
          <t>Not Connected</t>
        </is>
      </c>
      <c r="N155" s="79" t="n"/>
      <c r="O155" s="79" t="n"/>
      <c r="P155" s="79" t="n"/>
      <c r="Q155" s="79" t="n"/>
      <c r="R155" s="79" t="n"/>
      <c r="S155" s="79" t="n"/>
      <c r="T155" s="79" t="n"/>
      <c r="U155" s="79" t="n"/>
      <c r="V155" s="79" t="n"/>
      <c r="W155" s="79" t="n"/>
      <c r="X155" s="79" t="n"/>
      <c r="Y155" s="79" t="n"/>
      <c r="Z155" s="79" t="n"/>
    </row>
    <row r="156">
      <c r="A156" s="77" t="n"/>
      <c r="B156" s="78" t="n">
        <v>25091868762901</v>
      </c>
      <c r="C156" s="58" t="n"/>
      <c r="D156" s="65" t="n"/>
      <c r="E156" s="62" t="n">
        <v>700895</v>
      </c>
      <c r="F156" s="63" t="inlineStr">
        <is>
          <t xml:space="preserve">Mr./Ms. </t>
        </is>
      </c>
      <c r="G156" s="60" t="n">
        <v>1611861115</v>
      </c>
      <c r="H156" s="66" t="inlineStr">
        <is>
          <t>Khagrachari</t>
        </is>
      </c>
      <c r="I156" s="63" t="inlineStr">
        <is>
          <t>Electronics</t>
        </is>
      </c>
      <c r="J156" s="63" t="inlineStr">
        <is>
          <t>Mobiles  Tablets</t>
        </is>
      </c>
      <c r="K156" s="62" t="n">
        <v>128</v>
      </c>
      <c r="L156" s="63" t="inlineStr">
        <is>
          <t>Redmi Note 13 Pro Transparent PC Soft TPU Back Cover</t>
        </is>
      </c>
      <c r="M156" s="79" t="n"/>
      <c r="N156" s="79" t="n"/>
      <c r="O156" s="79" t="n"/>
      <c r="P156" s="79" t="n"/>
      <c r="Q156" s="79" t="n"/>
      <c r="R156" s="79" t="n"/>
      <c r="S156" s="79" t="n"/>
      <c r="T156" s="79" t="n"/>
      <c r="U156" s="79" t="n"/>
      <c r="V156" s="79" t="n"/>
      <c r="W156" s="79" t="n"/>
      <c r="X156" s="79" t="n"/>
      <c r="Y156" s="79" t="n"/>
      <c r="Z156" s="79" t="n"/>
    </row>
    <row r="157">
      <c r="A157" s="77" t="n"/>
      <c r="B157" s="78" t="n">
        <v>25091952703450</v>
      </c>
      <c r="C157" s="58" t="n"/>
      <c r="D157" s="65" t="n"/>
      <c r="E157" s="62" t="n">
        <v>703405</v>
      </c>
      <c r="F157" s="63" t="inlineStr">
        <is>
          <t xml:space="preserve">Md Rayhan siddiki </t>
        </is>
      </c>
      <c r="G157" s="60" t="n">
        <v>1833477347</v>
      </c>
      <c r="H157" s="66" t="inlineStr">
        <is>
          <t>Khagrachari</t>
        </is>
      </c>
      <c r="I157" s="63" t="inlineStr">
        <is>
          <t>Electronics</t>
        </is>
      </c>
      <c r="J157" s="63" t="inlineStr">
        <is>
          <t>TV, Audio / Video, Gaming  Wearables</t>
        </is>
      </c>
      <c r="K157" s="62" t="n">
        <v>248</v>
      </c>
      <c r="L157" s="63" t="inlineStr">
        <is>
          <t>OnePlus (1+) Nord Buds Truly Wireless Bluetooth Headset Earbuds OnePlus Airpods (Black Color, True Wireless)</t>
        </is>
      </c>
      <c r="M157" s="79" t="n"/>
      <c r="N157" s="79" t="n"/>
      <c r="O157" s="79" t="n"/>
      <c r="P157" s="79" t="n"/>
      <c r="Q157" s="79" t="n"/>
      <c r="R157" s="79" t="n"/>
      <c r="S157" s="79" t="n"/>
      <c r="T157" s="79" t="n"/>
      <c r="U157" s="79" t="n"/>
      <c r="V157" s="79" t="n"/>
      <c r="W157" s="79" t="n"/>
      <c r="X157" s="79" t="n"/>
      <c r="Y157" s="79" t="n"/>
      <c r="Z157" s="79" t="n"/>
    </row>
    <row r="158">
      <c r="A158" s="77" t="n"/>
      <c r="B158" s="78" t="n">
        <v>25092566566143</v>
      </c>
      <c r="C158" s="58" t="n"/>
      <c r="D158" s="65" t="n"/>
      <c r="E158" s="62" t="n">
        <v>724138</v>
      </c>
      <c r="F158" s="63" t="inlineStr">
        <is>
          <t xml:space="preserve">Mr./Ms. </t>
        </is>
      </c>
      <c r="G158" s="60" t="n">
        <v>1688193870</v>
      </c>
      <c r="H158" s="61" t="inlineStr">
        <is>
          <t>Keraniganj</t>
        </is>
      </c>
      <c r="I158" s="63" t="inlineStr">
        <is>
          <t>Lifestyle</t>
        </is>
      </c>
      <c r="J158" s="63" t="inlineStr">
        <is>
          <t>Sports  Outdoors</t>
        </is>
      </c>
      <c r="K158" s="62" t="n">
        <v>453</v>
      </c>
      <c r="L158" s="63" t="inlineStr">
        <is>
          <t>Sneakers For Men Black Color Black Sneakers For Men 2022 New High Quality Black Shoes For Men Sneakers Sports Shoes For Men | Black Sneakers For Men 2022 New | Black Sneakers For Women Under 500 | Sneakers For Men Low Price</t>
        </is>
      </c>
      <c r="M158" s="79" t="n"/>
      <c r="N158" s="79" t="n"/>
      <c r="O158" s="79" t="n"/>
      <c r="P158" s="79" t="n"/>
      <c r="Q158" s="79" t="n"/>
      <c r="R158" s="79" t="n"/>
      <c r="S158" s="79" t="n"/>
      <c r="T158" s="79" t="n"/>
      <c r="U158" s="79" t="n"/>
      <c r="V158" s="79" t="n"/>
      <c r="W158" s="79" t="n"/>
      <c r="X158" s="79" t="n"/>
      <c r="Y158" s="79" t="n"/>
      <c r="Z158" s="79" t="n"/>
    </row>
    <row r="159">
      <c r="A159" s="77" t="n"/>
      <c r="B159" s="78" t="n">
        <v>25092626246034</v>
      </c>
      <c r="C159" s="58" t="n"/>
      <c r="D159" s="65" t="n"/>
      <c r="E159" s="62" t="n">
        <v>725269</v>
      </c>
      <c r="F159" s="63" t="inlineStr">
        <is>
          <t xml:space="preserve">SB Cheetah </t>
        </is>
      </c>
      <c r="G159" s="60" t="n">
        <v>1310042919</v>
      </c>
      <c r="H159" s="66" t="inlineStr">
        <is>
          <t>Keraniganj</t>
        </is>
      </c>
      <c r="I159" s="63" t="inlineStr">
        <is>
          <t>Electronics</t>
        </is>
      </c>
      <c r="J159" s="63" t="inlineStr">
        <is>
          <t>Computers  Laptops</t>
        </is>
      </c>
      <c r="K159" s="62" t="n">
        <v>1018</v>
      </c>
      <c r="L159" s="63" t="inlineStr">
        <is>
          <t>One Hand RGB Gaming Keyboard and Backlit Mouse Combo,USB Wired with 2 pice otg kebol free</t>
        </is>
      </c>
      <c r="M159" s="79" t="n"/>
      <c r="N159" s="79" t="n"/>
      <c r="O159" s="79" t="n"/>
      <c r="P159" s="79" t="n"/>
      <c r="Q159" s="79" t="n"/>
      <c r="R159" s="79" t="n"/>
      <c r="S159" s="79" t="n"/>
      <c r="T159" s="79" t="n"/>
      <c r="U159" s="79" t="n"/>
      <c r="V159" s="79" t="n"/>
      <c r="W159" s="79" t="n"/>
      <c r="X159" s="79" t="n"/>
      <c r="Y159" s="79" t="n"/>
      <c r="Z159" s="79" t="n"/>
    </row>
    <row r="160">
      <c r="A160" s="77" t="n"/>
      <c r="B160" s="78" t="n">
        <v>25092767377584</v>
      </c>
      <c r="C160" s="58" t="n"/>
      <c r="D160" s="65" t="n"/>
      <c r="E160" s="62" t="n">
        <v>612405</v>
      </c>
      <c r="F160" s="63" t="inlineStr">
        <is>
          <t xml:space="preserve">Ashikur Rahman </t>
        </is>
      </c>
      <c r="G160" s="60" t="n">
        <v>1852717134</v>
      </c>
      <c r="H160" s="66" t="inlineStr">
        <is>
          <t>Keraniganj</t>
        </is>
      </c>
      <c r="I160" s="63" t="inlineStr">
        <is>
          <t>Electronics</t>
        </is>
      </c>
      <c r="J160" s="63" t="inlineStr">
        <is>
          <t>Computers  Laptops</t>
        </is>
      </c>
      <c r="K160" s="62" t="n">
        <v>700</v>
      </c>
      <c r="L160" s="63" t="inlineStr">
        <is>
          <t>Epson Ink set 664 for L130,L-360,L380 Printer</t>
        </is>
      </c>
      <c r="M160" s="79" t="n"/>
      <c r="N160" s="79" t="n"/>
      <c r="O160" s="79" t="n"/>
      <c r="P160" s="79" t="n"/>
      <c r="Q160" s="79" t="n"/>
      <c r="R160" s="79" t="n"/>
      <c r="S160" s="79" t="n"/>
      <c r="T160" s="79" t="n"/>
      <c r="U160" s="79" t="n"/>
      <c r="V160" s="79" t="n"/>
      <c r="W160" s="79" t="n"/>
      <c r="X160" s="79" t="n"/>
      <c r="Y160" s="79" t="n"/>
      <c r="Z160" s="79" t="n"/>
    </row>
    <row r="161">
      <c r="A161" s="77" t="n"/>
      <c r="B161" s="78" t="n">
        <v>25091977463856</v>
      </c>
      <c r="C161" s="58" t="n"/>
      <c r="D161" s="65" t="n"/>
      <c r="E161" s="62" t="n">
        <v>703502</v>
      </c>
      <c r="F161" s="63" t="inlineStr">
        <is>
          <t>Emon Hasan</t>
        </is>
      </c>
      <c r="G161" s="60" t="n">
        <v>1402266942</v>
      </c>
      <c r="H161" s="66" t="inlineStr">
        <is>
          <t>Joypurhat</t>
        </is>
      </c>
      <c r="I161" s="63" t="inlineStr">
        <is>
          <t>Fashion</t>
        </is>
      </c>
      <c r="J161" s="63" t="inlineStr">
        <is>
          <t>Bags and Travel</t>
        </is>
      </c>
      <c r="K161" s="62" t="n">
        <v>181</v>
      </c>
      <c r="L161" s="63" t="inlineStr">
        <is>
          <t>Pu Leather jeep crossbody bag for man College Chest Bag</t>
        </is>
      </c>
      <c r="M161" s="79" t="n"/>
      <c r="N161" s="79" t="n"/>
      <c r="O161" s="79" t="n"/>
      <c r="P161" s="79" t="n"/>
      <c r="Q161" s="79" t="n"/>
      <c r="R161" s="79" t="n"/>
      <c r="S161" s="79" t="n"/>
      <c r="T161" s="79" t="n"/>
      <c r="U161" s="79" t="n"/>
      <c r="V161" s="79" t="n"/>
      <c r="W161" s="79" t="n"/>
      <c r="X161" s="79" t="n"/>
      <c r="Y161" s="79" t="n"/>
      <c r="Z161" s="79" t="n"/>
    </row>
    <row r="162">
      <c r="A162" s="77" t="n"/>
      <c r="B162" s="78" t="n">
        <v>25092347836572</v>
      </c>
      <c r="C162" s="58" t="n"/>
      <c r="D162" s="65" t="n"/>
      <c r="E162" s="62" t="n">
        <v>193308</v>
      </c>
      <c r="F162" s="63" t="inlineStr">
        <is>
          <t xml:space="preserve">Mr./Ms. </t>
        </is>
      </c>
      <c r="G162" s="60" t="n">
        <v>1731917373</v>
      </c>
      <c r="H162" s="61" t="inlineStr">
        <is>
          <t>Joypurhat</t>
        </is>
      </c>
      <c r="I162" s="63" t="inlineStr">
        <is>
          <t>Fashion</t>
        </is>
      </c>
      <c r="J162" s="63" t="inlineStr">
        <is>
          <t>Fashion</t>
        </is>
      </c>
      <c r="K162" s="62" t="n">
        <v>2496</v>
      </c>
      <c r="L162" s="63" t="inlineStr">
        <is>
          <t>1 Pc 5 Hat multi color Cotton Made Traditional Lungi For Men/Boys</t>
        </is>
      </c>
      <c r="M162" s="79" t="n"/>
      <c r="N162" s="79" t="n"/>
      <c r="O162" s="79" t="n"/>
      <c r="P162" s="79" t="n"/>
      <c r="Q162" s="79" t="n"/>
      <c r="R162" s="79" t="n"/>
      <c r="S162" s="79" t="n"/>
      <c r="T162" s="79" t="n"/>
      <c r="U162" s="79" t="n"/>
      <c r="V162" s="79" t="n"/>
      <c r="W162" s="79" t="n"/>
      <c r="X162" s="79" t="n"/>
      <c r="Y162" s="79" t="n"/>
      <c r="Z162" s="79" t="n"/>
    </row>
    <row r="163">
      <c r="A163" s="77" t="n"/>
      <c r="B163" s="78" t="n">
        <v>25092420961165</v>
      </c>
      <c r="C163" s="58" t="n"/>
      <c r="D163" s="65" t="n"/>
      <c r="E163" s="62" t="n">
        <v>595855</v>
      </c>
      <c r="F163" s="63" t="inlineStr">
        <is>
          <t xml:space="preserve">Md Tajkirat Hossain </t>
        </is>
      </c>
      <c r="G163" s="60" t="n">
        <v>1963373212</v>
      </c>
      <c r="H163" s="61" t="inlineStr">
        <is>
          <t>Joypurhat</t>
        </is>
      </c>
      <c r="I163" s="63" t="inlineStr">
        <is>
          <t>Lifestyle</t>
        </is>
      </c>
      <c r="J163" s="63" t="inlineStr">
        <is>
          <t>Tools, DIY  Outdoor</t>
        </is>
      </c>
      <c r="K163" s="62" t="n">
        <v>59</v>
      </c>
      <c r="L163" s="63" t="inlineStr">
        <is>
          <t>5V Boost Step Up Power Module For Small Power Bank</t>
        </is>
      </c>
      <c r="M163" s="79" t="n"/>
      <c r="N163" s="79" t="n"/>
      <c r="O163" s="79" t="n"/>
      <c r="P163" s="79" t="n"/>
      <c r="Q163" s="79" t="n"/>
      <c r="R163" s="79" t="n"/>
      <c r="S163" s="79" t="n"/>
      <c r="T163" s="79" t="n"/>
      <c r="U163" s="79" t="n"/>
      <c r="V163" s="79" t="n"/>
      <c r="W163" s="79" t="n"/>
      <c r="X163" s="79" t="n"/>
      <c r="Y163" s="79" t="n"/>
      <c r="Z163" s="79" t="n"/>
    </row>
    <row r="164">
      <c r="A164" s="77" t="n"/>
      <c r="B164" s="78" t="n">
        <v>25092537738079</v>
      </c>
      <c r="C164" s="58" t="n"/>
      <c r="D164" s="65" t="n"/>
      <c r="E164" s="62" t="n">
        <v>60703</v>
      </c>
      <c r="F164" s="63" t="inlineStr">
        <is>
          <t xml:space="preserve">Sakib Hasan </t>
        </is>
      </c>
      <c r="G164" s="60" t="n">
        <v>1955710842</v>
      </c>
      <c r="H164" s="61" t="inlineStr">
        <is>
          <t>Joypurhat</t>
        </is>
      </c>
      <c r="I164" s="63" t="inlineStr">
        <is>
          <t>Fashion</t>
        </is>
      </c>
      <c r="J164" s="63" t="inlineStr">
        <is>
          <t>Fashion</t>
        </is>
      </c>
      <c r="K164" s="62" t="n">
        <v>706</v>
      </c>
      <c r="L164" s="63" t="inlineStr">
        <is>
          <t>SMUG Stylish Trouser Combo -  Fabric soft and comfortable - Black and Navy - Trouser For Men</t>
        </is>
      </c>
      <c r="M164" s="79" t="n"/>
      <c r="N164" s="79" t="n"/>
      <c r="O164" s="79" t="n"/>
      <c r="P164" s="79" t="n"/>
      <c r="Q164" s="79" t="n"/>
      <c r="R164" s="79" t="n"/>
      <c r="S164" s="79" t="n"/>
      <c r="T164" s="79" t="n"/>
      <c r="U164" s="79" t="n"/>
      <c r="V164" s="79" t="n"/>
      <c r="W164" s="79" t="n"/>
      <c r="X164" s="79" t="n"/>
      <c r="Y164" s="79" t="n"/>
      <c r="Z164" s="79" t="n"/>
    </row>
    <row r="165">
      <c r="A165" s="77" t="n"/>
      <c r="B165" s="78" t="n">
        <v>25091612423079</v>
      </c>
      <c r="C165" s="58" t="n"/>
      <c r="D165" s="65" t="n"/>
      <c r="E165" s="62" t="n">
        <v>692756</v>
      </c>
      <c r="F165" s="63" t="inlineStr">
        <is>
          <t xml:space="preserve">Mr./Ms. </t>
        </is>
      </c>
      <c r="G165" s="60" t="n">
        <v>1969398951</v>
      </c>
      <c r="H165" s="61" t="inlineStr">
        <is>
          <t>Jhenidah</t>
        </is>
      </c>
      <c r="I165" s="63" t="inlineStr">
        <is>
          <t>FMCG</t>
        </is>
      </c>
      <c r="J165" s="63" t="inlineStr">
        <is>
          <t>Pet Supplies</t>
        </is>
      </c>
      <c r="K165" s="62" t="n">
        <v>300</v>
      </c>
      <c r="L165" s="63" t="inlineStr">
        <is>
          <t>XH-W3001 Digital Temperature Controller LED Display Thermometer Controller Supply DC12/AC220V</t>
        </is>
      </c>
      <c r="M165" s="79" t="inlineStr">
        <is>
          <t>Not Connected</t>
        </is>
      </c>
      <c r="N165" s="79" t="n"/>
      <c r="O165" s="79" t="n"/>
      <c r="P165" s="79" t="n"/>
      <c r="Q165" s="79" t="n"/>
      <c r="R165" s="79" t="n"/>
      <c r="S165" s="79" t="n"/>
      <c r="T165" s="79" t="n"/>
      <c r="U165" s="70" t="n"/>
      <c r="V165" s="79" t="n"/>
      <c r="W165" s="79" t="n"/>
      <c r="X165" s="69" t="n"/>
      <c r="Y165" s="79" t="n"/>
      <c r="Z165" s="79" t="n"/>
    </row>
    <row r="166">
      <c r="A166" s="77" t="n"/>
      <c r="B166" s="78" t="n">
        <v>25091720458163</v>
      </c>
      <c r="C166" s="58" t="n"/>
      <c r="D166" s="65" t="n"/>
      <c r="E166" s="62" t="n">
        <v>682897</v>
      </c>
      <c r="F166" s="63" t="inlineStr">
        <is>
          <t>TANVIR MAHMUD JIHAD</t>
        </is>
      </c>
      <c r="G166" s="60" t="n">
        <v>1832775649</v>
      </c>
      <c r="H166" s="61" t="inlineStr">
        <is>
          <t>Jhenidah</t>
        </is>
      </c>
      <c r="I166" s="63" t="inlineStr">
        <is>
          <t>Electronics</t>
        </is>
      </c>
      <c r="J166" s="63" t="inlineStr">
        <is>
          <t>Home Appliances</t>
        </is>
      </c>
      <c r="K166" s="62" t="n">
        <v>5352</v>
      </c>
      <c r="L166" s="63" t="inlineStr">
        <is>
          <t>1.8 Liter Multifunctional Non-stick Mini Rice Cooker Non-Coated Household Electric Cooker Electric Frying Pan</t>
        </is>
      </c>
      <c r="M166" s="79" t="inlineStr">
        <is>
          <t>Not Connected</t>
        </is>
      </c>
      <c r="N166" s="79" t="n"/>
      <c r="O166" s="79" t="n"/>
      <c r="P166" s="79" t="n"/>
      <c r="Q166" s="79" t="n"/>
      <c r="R166" s="79" t="n"/>
      <c r="S166" s="79" t="n"/>
      <c r="T166" s="79" t="n"/>
      <c r="U166" s="79" t="n"/>
      <c r="V166" s="79" t="n"/>
      <c r="W166" s="79" t="n"/>
      <c r="X166" s="79" t="n"/>
      <c r="Y166" s="79" t="n"/>
      <c r="Z166" s="79" t="n"/>
    </row>
    <row r="167">
      <c r="A167" s="77" t="n"/>
      <c r="B167" s="78" t="n">
        <v>25091721769900</v>
      </c>
      <c r="C167" s="58" t="n"/>
      <c r="D167" s="65" t="n"/>
      <c r="E167" s="62" t="n">
        <v>444840</v>
      </c>
      <c r="F167" s="63" t="inlineStr">
        <is>
          <t xml:space="preserve">Mr./Ms. </t>
        </is>
      </c>
      <c r="G167" s="60" t="n">
        <v>1732802232</v>
      </c>
      <c r="H167" s="61" t="inlineStr">
        <is>
          <t>Jhenidah</t>
        </is>
      </c>
      <c r="I167" s="63" t="inlineStr">
        <is>
          <t>Lifestyle</t>
        </is>
      </c>
      <c r="J167" s="63" t="inlineStr">
        <is>
          <t>Kitchen  Dining</t>
        </is>
      </c>
      <c r="K167" s="62" t="n">
        <v>797</v>
      </c>
      <c r="L167" s="63" t="inlineStr">
        <is>
          <t>7 Pcs Porcelain Snack Bowl Set, Ceramic Firni Bati Set , Soup &amp; Firni Bati, Ice Cream Serving Cup Bowl Set, Microwave Oven Save. Gift And Home Decoration.Cd:R50.</t>
        </is>
      </c>
      <c r="M167" s="79" t="inlineStr">
        <is>
          <t>Not Connected</t>
        </is>
      </c>
      <c r="N167" s="79" t="n"/>
      <c r="O167" s="79" t="n"/>
      <c r="P167" s="79" t="n"/>
      <c r="Q167" s="79" t="n"/>
      <c r="R167" s="79" t="n"/>
      <c r="S167" s="79" t="n"/>
      <c r="T167" s="79" t="n"/>
      <c r="U167" s="79" t="n"/>
      <c r="V167" s="79" t="n"/>
      <c r="W167" s="79" t="n"/>
      <c r="X167" s="79" t="n"/>
      <c r="Y167" s="79" t="n"/>
      <c r="Z167" s="79" t="n"/>
    </row>
    <row r="168">
      <c r="A168" s="77" t="n"/>
      <c r="B168" s="78" t="n">
        <v>25091734476953</v>
      </c>
      <c r="C168" s="58" t="n"/>
      <c r="D168" s="65" t="n"/>
      <c r="E168" s="62" t="n">
        <v>622756</v>
      </c>
      <c r="F168" s="63" t="inlineStr">
        <is>
          <t>Mr Junaid Mia</t>
        </is>
      </c>
      <c r="G168" s="60" t="n">
        <v>1622427141</v>
      </c>
      <c r="H168" s="61" t="inlineStr">
        <is>
          <t>Jhenidah</t>
        </is>
      </c>
      <c r="I168" s="63" t="inlineStr">
        <is>
          <t>Lifestyle</t>
        </is>
      </c>
      <c r="J168" s="63" t="inlineStr">
        <is>
          <t>Tools, DIY  Outdoor</t>
        </is>
      </c>
      <c r="K168" s="62" t="n">
        <v>141</v>
      </c>
      <c r="L168" s="63" t="inlineStr">
        <is>
          <t>40A 3S BMS Circuit 12V 40A Protection Circuit 12V BMS 40A 11.1V 12.6V 18650 AA AAA Lithium Battery Charger Board 3S 40A BMS Circuit 12V BMS Battery Management System - 12 volt battery</t>
        </is>
      </c>
      <c r="M168" s="79" t="inlineStr">
        <is>
          <t xml:space="preserve">Connected </t>
        </is>
      </c>
      <c r="N168" s="79" t="inlineStr">
        <is>
          <t>Yes</t>
        </is>
      </c>
      <c r="O168" s="79" t="inlineStr">
        <is>
          <t>Other</t>
        </is>
      </c>
      <c r="P168" s="79" t="n"/>
      <c r="Q168" s="79" t="n"/>
      <c r="R168" s="79" t="inlineStr">
        <is>
          <t>Yes (in time)</t>
        </is>
      </c>
      <c r="S168" s="79" t="inlineStr">
        <is>
          <t>No</t>
        </is>
      </c>
      <c r="T168" s="79" t="inlineStr">
        <is>
          <t>Didn’t try</t>
        </is>
      </c>
      <c r="U168" s="79" t="n"/>
      <c r="V168" s="79" t="n"/>
      <c r="W168" s="79" t="n">
        <v>8</v>
      </c>
      <c r="X168" s="79" t="n"/>
      <c r="Y168" s="79" t="inlineStr">
        <is>
          <t>Positive</t>
        </is>
      </c>
      <c r="Z168" s="79" t="n"/>
    </row>
    <row r="169">
      <c r="A169" s="77" t="n"/>
      <c r="B169" s="78" t="n">
        <v>25092117467159</v>
      </c>
      <c r="C169" s="58" t="n"/>
      <c r="D169" s="65" t="n"/>
      <c r="E169" s="62" t="n">
        <v>611097</v>
      </c>
      <c r="F169" s="63" t="inlineStr">
        <is>
          <t xml:space="preserve">Mr./Ms. </t>
        </is>
      </c>
      <c r="G169" s="60" t="n">
        <v>1737063339</v>
      </c>
      <c r="H169" s="66" t="inlineStr">
        <is>
          <t>Jhalokathi</t>
        </is>
      </c>
      <c r="I169" s="63" t="inlineStr">
        <is>
          <t>Lifestyle</t>
        </is>
      </c>
      <c r="J169" s="63" t="inlineStr">
        <is>
          <t>Stationery  Craft</t>
        </is>
      </c>
      <c r="K169" s="62" t="n">
        <v>1926</v>
      </c>
      <c r="L169" s="63" t="inlineStr">
        <is>
          <t>20 Pcs Clothespins Stainless Steel Clothes Clips 20 Pcs Metal Sealing Clip Socks Clothing Pegs Household Clothespin Clips for School Office Stationery</t>
        </is>
      </c>
      <c r="M169" s="79" t="n"/>
      <c r="N169" s="79" t="n"/>
      <c r="O169" s="79" t="n"/>
      <c r="P169" s="79" t="n"/>
      <c r="Q169" s="79" t="n"/>
      <c r="R169" s="79" t="n"/>
      <c r="S169" s="79" t="n"/>
      <c r="T169" s="79" t="n"/>
      <c r="U169" s="79" t="n"/>
      <c r="V169" s="79" t="n"/>
      <c r="W169" s="79" t="n"/>
      <c r="X169" s="79" t="n"/>
      <c r="Y169" s="79" t="n"/>
      <c r="Z169" s="79" t="n"/>
    </row>
    <row r="170">
      <c r="A170" s="77" t="n"/>
      <c r="B170" s="78" t="n">
        <v>25092534762755</v>
      </c>
      <c r="C170" s="58" t="n"/>
      <c r="D170" s="65" t="n"/>
      <c r="E170" s="62" t="n">
        <v>50668</v>
      </c>
      <c r="F170" s="63" t="inlineStr">
        <is>
          <t>Shashanka chakraborty</t>
        </is>
      </c>
      <c r="G170" s="60" t="n">
        <v>1715275599</v>
      </c>
      <c r="H170" s="61" t="inlineStr">
        <is>
          <t>Jhalokathi</t>
        </is>
      </c>
      <c r="I170" s="63" t="inlineStr">
        <is>
          <t>FMCG</t>
        </is>
      </c>
      <c r="J170" s="63" t="inlineStr">
        <is>
          <t>Health  Beauty</t>
        </is>
      </c>
      <c r="K170" s="62" t="n">
        <v>428</v>
      </c>
      <c r="L170" s="63" t="inlineStr">
        <is>
          <t>Blood Pressure Bp Cuff Rubber With Bulb Valve</t>
        </is>
      </c>
      <c r="M170" s="79" t="n"/>
      <c r="N170" s="79" t="n"/>
      <c r="O170" s="79" t="n"/>
      <c r="P170" s="79" t="n"/>
      <c r="Q170" s="79" t="n"/>
      <c r="R170" s="79" t="n"/>
      <c r="S170" s="79" t="n"/>
      <c r="T170" s="79" t="n"/>
      <c r="U170" s="79" t="n"/>
      <c r="V170" s="79" t="n"/>
      <c r="W170" s="79" t="n"/>
      <c r="X170" s="79" t="n"/>
      <c r="Y170" s="79" t="n"/>
      <c r="Z170" s="79" t="n"/>
    </row>
    <row r="171">
      <c r="A171" s="77" t="n"/>
      <c r="B171" s="78" t="n">
        <v>25092672167815</v>
      </c>
      <c r="C171" s="58" t="n"/>
      <c r="D171" s="65" t="n"/>
      <c r="E171" s="62" t="n">
        <v>558432</v>
      </c>
      <c r="F171" s="63" t="inlineStr">
        <is>
          <t>AL Emran</t>
        </is>
      </c>
      <c r="G171" s="60" t="n">
        <v>1739990759</v>
      </c>
      <c r="H171" s="61" t="inlineStr">
        <is>
          <t>Jhalokathi</t>
        </is>
      </c>
      <c r="I171" s="63" t="inlineStr">
        <is>
          <t>Fashion</t>
        </is>
      </c>
      <c r="J171" s="63" t="inlineStr">
        <is>
          <t>Bags and Travel</t>
        </is>
      </c>
      <c r="K171" s="62" t="n">
        <v>154</v>
      </c>
      <c r="L171" s="63" t="inlineStr">
        <is>
          <t>45L Bag Rain Dust Cover Protable Waterproof Anti-tear Dustproof Anti-UV Backpack Camping Hiking</t>
        </is>
      </c>
      <c r="M171" s="79" t="n"/>
      <c r="N171" s="79" t="n"/>
      <c r="O171" s="79" t="n"/>
      <c r="P171" s="79" t="n"/>
      <c r="Q171" s="79" t="n"/>
      <c r="R171" s="79" t="n"/>
      <c r="S171" s="79" t="n"/>
      <c r="T171" s="79" t="n"/>
      <c r="U171" s="79" t="n"/>
      <c r="V171" s="79" t="n"/>
      <c r="W171" s="79" t="n"/>
      <c r="X171" s="79" t="n"/>
      <c r="Y171" s="79" t="n"/>
      <c r="Z171" s="79" t="n"/>
    </row>
    <row r="172">
      <c r="A172" s="77" t="n"/>
      <c r="B172" s="78" t="n">
        <v>25091663639122</v>
      </c>
      <c r="C172" s="58" t="n"/>
      <c r="D172" s="65" t="n"/>
      <c r="E172" s="62" t="n">
        <v>691701</v>
      </c>
      <c r="F172" s="63" t="inlineStr">
        <is>
          <t xml:space="preserve">Mr./Ms. </t>
        </is>
      </c>
      <c r="G172" s="60" t="n">
        <v>1771817721</v>
      </c>
      <c r="H172" s="61" t="inlineStr">
        <is>
          <t>Jashore</t>
        </is>
      </c>
      <c r="I172" s="63" t="inlineStr">
        <is>
          <t>Fashion</t>
        </is>
      </c>
      <c r="J172" s="63" t="inlineStr">
        <is>
          <t>Watches Sunglasses Jewellery</t>
        </is>
      </c>
      <c r="K172" s="62" t="n">
        <v>92</v>
      </c>
      <c r="L172" s="63" t="inlineStr">
        <is>
          <t>Magnetic Watch For Girls  Magnetic Watch For Girls</t>
        </is>
      </c>
      <c r="M172" s="79" t="inlineStr">
        <is>
          <t xml:space="preserve">Connected </t>
        </is>
      </c>
      <c r="N172" s="79" t="inlineStr">
        <is>
          <t>Yes</t>
        </is>
      </c>
      <c r="O172" s="79" t="inlineStr">
        <is>
          <t>Other</t>
        </is>
      </c>
      <c r="P172" s="79" t="n"/>
      <c r="Q172" s="79" t="n"/>
      <c r="R172" s="79" t="inlineStr">
        <is>
          <t>Yes (in time)</t>
        </is>
      </c>
      <c r="S172" s="79" t="inlineStr">
        <is>
          <t>No</t>
        </is>
      </c>
      <c r="T172" s="79" t="inlineStr">
        <is>
          <t>Not required</t>
        </is>
      </c>
      <c r="U172" s="79" t="n"/>
      <c r="V172" s="79" t="n"/>
      <c r="W172" s="79" t="n">
        <v>9</v>
      </c>
      <c r="X172" s="79" t="n"/>
      <c r="Y172" s="79" t="inlineStr">
        <is>
          <t>Neutral</t>
        </is>
      </c>
      <c r="Z172" s="79" t="n"/>
    </row>
    <row r="173">
      <c r="A173" s="77" t="n"/>
      <c r="B173" s="78" t="n">
        <v>25091886315509</v>
      </c>
      <c r="C173" s="58" t="n"/>
      <c r="D173" s="65" t="n"/>
      <c r="E173" s="62" t="n">
        <v>107987</v>
      </c>
      <c r="F173" s="63" t="inlineStr">
        <is>
          <t>Sk Sohan</t>
        </is>
      </c>
      <c r="G173" s="60" t="n">
        <v>1810491345</v>
      </c>
      <c r="H173" s="66" t="inlineStr">
        <is>
          <t>Jashore</t>
        </is>
      </c>
      <c r="I173" s="63" t="inlineStr">
        <is>
          <t>Electronics</t>
        </is>
      </c>
      <c r="J173" s="63" t="inlineStr">
        <is>
          <t>TV, Audio / Video, Gaming  Wearables</t>
        </is>
      </c>
      <c r="K173" s="62" t="n">
        <v>677</v>
      </c>
      <c r="L173" s="63" t="inlineStr">
        <is>
          <t>ZK-502L Audio Amplifier DIY Bluetooth 5.0 High Power Digital Stereo Amplifier 50WX2 502L with Back Sheel Bluetooth Home Theater Sound System</t>
        </is>
      </c>
      <c r="M173" s="79" t="n"/>
      <c r="N173" s="79" t="n"/>
      <c r="O173" s="79" t="n"/>
      <c r="P173" s="79" t="n"/>
      <c r="Q173" s="79" t="n"/>
      <c r="R173" s="79" t="n"/>
      <c r="S173" s="79" t="n"/>
      <c r="T173" s="79" t="n"/>
      <c r="U173" s="79" t="n"/>
      <c r="V173" s="79" t="n"/>
      <c r="W173" s="79" t="n"/>
      <c r="X173" s="79" t="n"/>
      <c r="Y173" s="79" t="n"/>
      <c r="Z173" s="79" t="n"/>
    </row>
    <row r="174">
      <c r="A174" s="77" t="n"/>
      <c r="B174" s="78" t="n">
        <v>25091976839089</v>
      </c>
      <c r="C174" s="58" t="n"/>
      <c r="D174" s="65" t="n"/>
      <c r="E174" s="62" t="n">
        <v>690570</v>
      </c>
      <c r="F174" s="63" t="inlineStr">
        <is>
          <t xml:space="preserve">Rony khan </t>
        </is>
      </c>
      <c r="G174" s="60" t="n">
        <v>1703341966</v>
      </c>
      <c r="H174" s="61" t="inlineStr">
        <is>
          <t>Jashore</t>
        </is>
      </c>
      <c r="I174" s="63" t="inlineStr">
        <is>
          <t>Fashion</t>
        </is>
      </c>
      <c r="J174" s="63" t="inlineStr">
        <is>
          <t>Fashion</t>
        </is>
      </c>
      <c r="K174" s="62" t="n">
        <v>180</v>
      </c>
      <c r="L174" s="63" t="inlineStr">
        <is>
          <t>New Desing Digital print Soft &amp; Comfortable T-shirt For Men-T-shirt</t>
        </is>
      </c>
      <c r="M174" s="79" t="n"/>
      <c r="N174" s="79" t="n"/>
      <c r="O174" s="79" t="n"/>
      <c r="P174" s="79" t="n"/>
      <c r="Q174" s="79" t="n"/>
      <c r="R174" s="79" t="n"/>
      <c r="S174" s="79" t="n"/>
      <c r="T174" s="79" t="n"/>
      <c r="U174" s="79" t="n"/>
      <c r="V174" s="79" t="n"/>
      <c r="W174" s="79" t="n"/>
      <c r="X174" s="79" t="n"/>
      <c r="Y174" s="79" t="n"/>
      <c r="Z174" s="79" t="n"/>
    </row>
    <row r="175">
      <c r="A175" s="77" t="n"/>
      <c r="B175" s="78" t="n">
        <v>25091987588862</v>
      </c>
      <c r="C175" s="58" t="n"/>
      <c r="D175" s="65" t="n"/>
      <c r="E175" s="62" t="n">
        <v>96470</v>
      </c>
      <c r="F175" s="63" t="inlineStr">
        <is>
          <t xml:space="preserve">Tropical Overpower </t>
        </is>
      </c>
      <c r="G175" s="60" t="n">
        <v>1865049131</v>
      </c>
      <c r="H175" s="66" t="inlineStr">
        <is>
          <t>Jashore</t>
        </is>
      </c>
      <c r="I175" s="63" t="inlineStr">
        <is>
          <t>Lifestyle</t>
        </is>
      </c>
      <c r="J175" s="63" t="inlineStr">
        <is>
          <t>Bedding  Bath</t>
        </is>
      </c>
      <c r="K175" s="62" t="n">
        <v>86</v>
      </c>
      <c r="L175" s="63" t="inlineStr">
        <is>
          <t>Tooth brush holder - Portable Toothbrush &amp; Toothpaste Holder Storage Box</t>
        </is>
      </c>
      <c r="M175" s="79" t="n"/>
      <c r="N175" s="79" t="n"/>
      <c r="O175" s="79" t="n"/>
      <c r="P175" s="79" t="n"/>
      <c r="Q175" s="79" t="n"/>
      <c r="R175" s="79" t="n"/>
      <c r="S175" s="79" t="n"/>
      <c r="T175" s="79" t="n"/>
      <c r="U175" s="79" t="n"/>
      <c r="V175" s="79" t="n"/>
      <c r="W175" s="79" t="n"/>
      <c r="X175" s="79" t="n"/>
      <c r="Y175" s="79" t="n"/>
      <c r="Z175" s="79" t="n"/>
    </row>
    <row r="176">
      <c r="A176" s="77" t="n"/>
      <c r="B176" s="78" t="n">
        <v>25091679120165</v>
      </c>
      <c r="C176" s="58" t="n"/>
      <c r="D176" s="65" t="n"/>
      <c r="E176" s="62" t="n">
        <v>36125</v>
      </c>
      <c r="F176" s="63" t="inlineStr">
        <is>
          <t xml:space="preserve">SA RIYAD </t>
        </is>
      </c>
      <c r="G176" s="60" t="n">
        <v>1710741115</v>
      </c>
      <c r="H176" s="66" t="inlineStr">
        <is>
          <t>Jamalpur</t>
        </is>
      </c>
      <c r="I176" s="63" t="inlineStr">
        <is>
          <t>FMCG</t>
        </is>
      </c>
      <c r="J176" s="63" t="inlineStr">
        <is>
          <t>Health  Beauty</t>
        </is>
      </c>
      <c r="K176" s="62" t="n">
        <v>322</v>
      </c>
      <c r="L176" s="63" t="inlineStr">
        <is>
          <t>Parachute Naturale Anti Hair Fall Shampoo (5.25ml X 12 pcs)</t>
        </is>
      </c>
      <c r="M176" s="79" t="inlineStr">
        <is>
          <t>Not Connected</t>
        </is>
      </c>
      <c r="N176" s="79" t="n"/>
      <c r="O176" s="79" t="n"/>
      <c r="P176" s="79" t="n"/>
      <c r="Q176" s="79" t="n"/>
      <c r="R176" s="79" t="n"/>
      <c r="S176" s="79" t="n"/>
      <c r="T176" s="79" t="n"/>
      <c r="U176" s="79" t="n"/>
      <c r="V176" s="79" t="n"/>
      <c r="W176" s="79" t="n"/>
      <c r="X176" s="79" t="n"/>
      <c r="Y176" s="79" t="n"/>
      <c r="Z176" s="79" t="n"/>
    </row>
    <row r="177">
      <c r="A177" s="77" t="n"/>
      <c r="B177" s="78" t="n">
        <v>25092014707155</v>
      </c>
      <c r="C177" s="58" t="n"/>
      <c r="D177" s="65" t="n"/>
      <c r="E177" s="62" t="n">
        <v>706558</v>
      </c>
      <c r="F177" s="63" t="inlineStr">
        <is>
          <t xml:space="preserve">rartup7 </t>
        </is>
      </c>
      <c r="G177" s="60" t="n">
        <v>1922776884</v>
      </c>
      <c r="H177" s="61" t="inlineStr">
        <is>
          <t>Jamalpur</t>
        </is>
      </c>
      <c r="I177" s="63" t="inlineStr">
        <is>
          <t>Electronics</t>
        </is>
      </c>
      <c r="J177" s="63" t="inlineStr">
        <is>
          <t>Cameras</t>
        </is>
      </c>
      <c r="K177" s="62" t="n">
        <v>5300</v>
      </c>
      <c r="L177" s="63" t="inlineStr">
        <is>
          <t>Universal CCTV Surveillance Camera Bracket Wall Mount Support Stand</t>
        </is>
      </c>
      <c r="M177" s="79" t="n"/>
      <c r="N177" s="79" t="n"/>
      <c r="O177" s="79" t="n"/>
      <c r="P177" s="79" t="n"/>
      <c r="Q177" s="79" t="n"/>
      <c r="R177" s="79" t="n"/>
      <c r="S177" s="79" t="n"/>
      <c r="T177" s="79" t="n"/>
      <c r="U177" s="79" t="n"/>
      <c r="V177" s="79" t="n"/>
      <c r="W177" s="79" t="n"/>
      <c r="X177" s="79" t="n"/>
      <c r="Y177" s="79" t="n"/>
      <c r="Z177" s="79" t="n"/>
    </row>
    <row r="178">
      <c r="A178" s="77" t="n"/>
      <c r="B178" s="78" t="n">
        <v>25092099991827</v>
      </c>
      <c r="C178" s="58" t="n"/>
      <c r="D178" s="65" t="n"/>
      <c r="E178" s="62" t="n">
        <v>707077</v>
      </c>
      <c r="F178" s="63" t="inlineStr">
        <is>
          <t xml:space="preserve">RK Rohan </t>
        </is>
      </c>
      <c r="G178" s="60" t="n">
        <v>1610331408</v>
      </c>
      <c r="H178" s="66" t="inlineStr">
        <is>
          <t>Jamalpur</t>
        </is>
      </c>
      <c r="I178" s="63" t="inlineStr">
        <is>
          <t>Fashion</t>
        </is>
      </c>
      <c r="J178" s="63" t="inlineStr">
        <is>
          <t>Fashion</t>
        </is>
      </c>
      <c r="K178" s="62" t="n">
        <v>790</v>
      </c>
      <c r="L178" s="63" t="inlineStr">
        <is>
          <t>Buy Two Trousers (black, Navy) Get one T-shirt Free - Fabric Soft and comfortable| t shirt | t-shirts | t shirt for man | Jersey fabric</t>
        </is>
      </c>
      <c r="M178" s="79" t="n"/>
      <c r="N178" s="79" t="n"/>
      <c r="O178" s="79" t="n"/>
      <c r="P178" s="79" t="n"/>
      <c r="Q178" s="79" t="n"/>
      <c r="R178" s="79" t="n"/>
      <c r="S178" s="79" t="n"/>
      <c r="T178" s="79" t="n"/>
      <c r="U178" s="79" t="n"/>
      <c r="V178" s="79" t="n"/>
      <c r="W178" s="79" t="n"/>
      <c r="X178" s="79" t="n"/>
      <c r="Y178" s="79" t="n"/>
      <c r="Z178" s="79" t="n"/>
    </row>
    <row r="179">
      <c r="A179" s="77" t="n"/>
      <c r="B179" s="78" t="n">
        <v>25092137399664</v>
      </c>
      <c r="C179" s="58" t="n"/>
      <c r="D179" s="65" t="n"/>
      <c r="E179" s="62" t="n">
        <v>707002</v>
      </c>
      <c r="F179" s="63" t="inlineStr">
        <is>
          <t xml:space="preserve">sankha Das </t>
        </is>
      </c>
      <c r="G179" s="60" t="n">
        <v>1889931578</v>
      </c>
      <c r="H179" s="66" t="inlineStr">
        <is>
          <t>Jamalpur</t>
        </is>
      </c>
      <c r="I179" s="63" t="inlineStr">
        <is>
          <t>FMCG</t>
        </is>
      </c>
      <c r="J179" s="63" t="inlineStr">
        <is>
          <t>Health  Beauty</t>
        </is>
      </c>
      <c r="K179" s="62" t="n">
        <v>490</v>
      </c>
      <c r="L179" s="63" t="inlineStr">
        <is>
          <t>Ketsicart Wood Therapy Roller, Wooden Massage Roller Muscle Blasting Trigger Points for Home</t>
        </is>
      </c>
      <c r="M179" s="79" t="n"/>
      <c r="N179" s="79" t="n"/>
      <c r="O179" s="79" t="n"/>
      <c r="P179" s="79" t="n"/>
      <c r="Q179" s="79" t="n"/>
      <c r="R179" s="79" t="n"/>
      <c r="S179" s="79" t="n"/>
      <c r="T179" s="79" t="n"/>
      <c r="U179" s="79" t="n"/>
      <c r="V179" s="79" t="n"/>
      <c r="W179" s="79" t="n"/>
      <c r="X179" s="79" t="n"/>
      <c r="Y179" s="79" t="n"/>
      <c r="Z179" s="79" t="n"/>
    </row>
    <row r="180">
      <c r="A180" s="77" t="n"/>
      <c r="B180" s="78" t="n">
        <v>25091610887150</v>
      </c>
      <c r="C180" s="58" t="n"/>
      <c r="D180" s="65" t="n"/>
      <c r="E180" s="62" t="n">
        <v>678248</v>
      </c>
      <c r="F180" s="63" t="inlineStr">
        <is>
          <t xml:space="preserve">Emon Ahmed </t>
        </is>
      </c>
      <c r="G180" s="60" t="n">
        <v>1329170824</v>
      </c>
      <c r="H180" s="66" t="inlineStr">
        <is>
          <t>Habiganj</t>
        </is>
      </c>
      <c r="I180" s="63" t="inlineStr">
        <is>
          <t>Fashion</t>
        </is>
      </c>
      <c r="J180" s="63" t="inlineStr">
        <is>
          <t>Fashion</t>
        </is>
      </c>
      <c r="K180" s="62" t="n">
        <v>7200</v>
      </c>
      <c r="L180" s="63" t="inlineStr">
        <is>
          <t>Rebello Black Almond Men's Leather Shoe</t>
        </is>
      </c>
      <c r="M180" s="79" t="inlineStr">
        <is>
          <t>Not Reachable</t>
        </is>
      </c>
      <c r="N180" s="79" t="n"/>
      <c r="O180" s="79" t="n"/>
      <c r="P180" s="79" t="n"/>
      <c r="Q180" s="79" t="n"/>
      <c r="R180" s="79" t="n"/>
      <c r="S180" s="79" t="n"/>
      <c r="T180" s="79" t="n"/>
      <c r="U180" s="70" t="n"/>
      <c r="V180" s="79" t="n"/>
      <c r="W180" s="79" t="n"/>
      <c r="X180" s="69" t="n"/>
      <c r="Y180" s="79" t="n"/>
      <c r="Z180" s="79" t="n"/>
    </row>
    <row r="181">
      <c r="A181" s="77" t="n"/>
      <c r="B181" s="78" t="n">
        <v>25091620730965</v>
      </c>
      <c r="C181" s="63" t="inlineStr">
        <is>
          <t>Arefin</t>
        </is>
      </c>
      <c r="D181" s="65" t="n"/>
      <c r="E181" s="62" t="n">
        <v>690263</v>
      </c>
      <c r="F181" s="63" t="inlineStr">
        <is>
          <t xml:space="preserve">Emon Ahmed </t>
        </is>
      </c>
      <c r="G181" s="60" t="n">
        <v>1329170824</v>
      </c>
      <c r="H181" s="66" t="inlineStr">
        <is>
          <t>Habiganj</t>
        </is>
      </c>
      <c r="I181" s="63" t="inlineStr">
        <is>
          <t>Lifestyle</t>
        </is>
      </c>
      <c r="J181" s="63" t="inlineStr">
        <is>
          <t>Sports  Outdoors</t>
        </is>
      </c>
      <c r="K181" s="62" t="n">
        <v>1200</v>
      </c>
      <c r="L181" s="63" t="inlineStr">
        <is>
          <t>Rebello Blue Faux Men’s Sneakers Casual Shoe</t>
        </is>
      </c>
      <c r="M181" s="79" t="inlineStr">
        <is>
          <t>Not Connected</t>
        </is>
      </c>
      <c r="N181" s="79" t="n"/>
      <c r="O181" s="79" t="n"/>
      <c r="P181" s="79" t="n"/>
      <c r="Q181" s="79" t="n"/>
      <c r="R181" s="79" t="n"/>
      <c r="S181" s="79" t="n"/>
      <c r="T181" s="79" t="n"/>
      <c r="U181" s="79" t="n"/>
      <c r="V181" s="79" t="n"/>
      <c r="W181" s="79" t="n"/>
      <c r="X181" s="79" t="n"/>
      <c r="Y181" s="79" t="n"/>
      <c r="Z181" s="79" t="n"/>
    </row>
    <row r="182">
      <c r="A182" s="77" t="n"/>
      <c r="B182" s="78" t="n">
        <v>25091651573387</v>
      </c>
      <c r="C182" s="58" t="n"/>
      <c r="D182" s="65" t="n"/>
      <c r="E182" s="62" t="n">
        <v>586950</v>
      </c>
      <c r="F182" s="63" t="inlineStr">
        <is>
          <t xml:space="preserve">খান তামিম </t>
        </is>
      </c>
      <c r="G182" s="60" t="n">
        <v>1781361051</v>
      </c>
      <c r="H182" s="66" t="inlineStr">
        <is>
          <t>Habiganj</t>
        </is>
      </c>
      <c r="I182" s="63" t="inlineStr">
        <is>
          <t>Electronics</t>
        </is>
      </c>
      <c r="J182" s="63" t="inlineStr">
        <is>
          <t>TV, Audio / Video, Gaming  Wearables</t>
        </is>
      </c>
      <c r="K182" s="62" t="n">
        <v>589</v>
      </c>
      <c r="L182" s="63" t="inlineStr">
        <is>
          <t>T500 Bluetooth Call Smart Watch Heart Rate Monitor Iwo 8 Lite Smartwatch For All Android Phone</t>
        </is>
      </c>
      <c r="M182" s="79" t="inlineStr">
        <is>
          <t xml:space="preserve">Connected </t>
        </is>
      </c>
      <c r="N182" s="79" t="inlineStr">
        <is>
          <t>Yes</t>
        </is>
      </c>
      <c r="O182" s="79" t="inlineStr">
        <is>
          <t>Low Quality</t>
        </is>
      </c>
      <c r="P182" s="79" t="n"/>
      <c r="Q182" s="79" t="n"/>
      <c r="R182" s="79" t="inlineStr">
        <is>
          <t>Yes (in time)</t>
        </is>
      </c>
      <c r="S182" s="79" t="inlineStr">
        <is>
          <t>No</t>
        </is>
      </c>
      <c r="T182" s="79" t="inlineStr">
        <is>
          <t>Didn’t try</t>
        </is>
      </c>
      <c r="U182" s="79" t="n"/>
      <c r="V182" s="79" t="n"/>
      <c r="W182" s="79" t="n">
        <v>10</v>
      </c>
      <c r="X182" s="79" t="n"/>
      <c r="Y182" s="79" t="inlineStr">
        <is>
          <t>Positive</t>
        </is>
      </c>
      <c r="Z182" s="79" t="n"/>
    </row>
    <row r="183">
      <c r="A183" s="77" t="n"/>
      <c r="B183" s="78" t="n">
        <v>25091722498429</v>
      </c>
      <c r="C183" s="58" t="n"/>
      <c r="D183" s="65" t="n"/>
      <c r="E183" s="62" t="n">
        <v>684399</v>
      </c>
      <c r="F183" s="63" t="inlineStr">
        <is>
          <t xml:space="preserve">Mr./Ms. </t>
        </is>
      </c>
      <c r="G183" s="60" t="n">
        <v>1601027384</v>
      </c>
      <c r="H183" s="61" t="inlineStr">
        <is>
          <t>Habiganj</t>
        </is>
      </c>
      <c r="I183" s="63" t="inlineStr">
        <is>
          <t>Lifestyle</t>
        </is>
      </c>
      <c r="J183" s="63" t="inlineStr">
        <is>
          <t>Motors</t>
        </is>
      </c>
      <c r="K183" s="62" t="n">
        <v>768</v>
      </c>
      <c r="L183" s="63" t="inlineStr">
        <is>
          <t>Motorcycle Or Car Mini Driving Fog Light 1 Pcs 2 Color White And Yellow</t>
        </is>
      </c>
      <c r="M183" s="79" t="inlineStr">
        <is>
          <t xml:space="preserve">Connected </t>
        </is>
      </c>
      <c r="N183" s="79" t="inlineStr">
        <is>
          <t>Yes</t>
        </is>
      </c>
      <c r="O183" s="79" t="inlineStr">
        <is>
          <t>Low Quality</t>
        </is>
      </c>
      <c r="P183" s="79" t="inlineStr">
        <is>
          <t>Customer told low quality product and cut the call</t>
        </is>
      </c>
      <c r="Q183" s="79" t="n"/>
      <c r="R183" s="79" t="n"/>
      <c r="S183" s="79" t="n"/>
      <c r="T183" s="79" t="n"/>
      <c r="U183" s="79" t="n"/>
      <c r="V183" s="79" t="n"/>
      <c r="W183" s="79" t="n"/>
      <c r="X183" s="79" t="n"/>
      <c r="Y183" s="79" t="n"/>
      <c r="Z183" s="79" t="n"/>
    </row>
    <row r="184">
      <c r="A184" s="77" t="n"/>
      <c r="B184" s="78" t="n">
        <v>25091661313155</v>
      </c>
      <c r="C184" s="58" t="n"/>
      <c r="D184" s="65" t="n"/>
      <c r="E184" s="62" t="n">
        <v>692024</v>
      </c>
      <c r="F184" s="63" t="inlineStr">
        <is>
          <t xml:space="preserve">Mr./Ms. </t>
        </is>
      </c>
      <c r="G184" s="60" t="n">
        <v>1568821299</v>
      </c>
      <c r="H184" s="66" t="inlineStr">
        <is>
          <t>Gopalgonj</t>
        </is>
      </c>
      <c r="I184" s="63" t="inlineStr">
        <is>
          <t>Lifestyle</t>
        </is>
      </c>
      <c r="J184" s="63" t="inlineStr">
        <is>
          <t>Stationery  Craft</t>
        </is>
      </c>
      <c r="K184" s="62" t="n">
        <v>149</v>
      </c>
      <c r="L184" s="63" t="inlineStr">
        <is>
          <t>7 Pcs Paint Brush Set and 1 Pieces Artist Color Round Palette</t>
        </is>
      </c>
      <c r="M184" s="79" t="inlineStr">
        <is>
          <t>Not Connected</t>
        </is>
      </c>
      <c r="N184" s="79" t="n"/>
      <c r="O184" s="79" t="n"/>
      <c r="P184" s="79" t="n"/>
      <c r="Q184" s="79" t="n"/>
      <c r="R184" s="79" t="n"/>
      <c r="S184" s="79" t="n"/>
      <c r="T184" s="79" t="n"/>
      <c r="U184" s="79" t="n"/>
      <c r="V184" s="79" t="n"/>
      <c r="W184" s="79" t="n"/>
      <c r="X184" s="79" t="n"/>
      <c r="Y184" s="79" t="n"/>
      <c r="Z184" s="79" t="n"/>
    </row>
    <row r="185">
      <c r="A185" s="77" t="n"/>
      <c r="B185" s="78" t="n">
        <v>25091689344113</v>
      </c>
      <c r="C185" s="58" t="n"/>
      <c r="D185" s="65" t="n"/>
      <c r="E185" s="62" t="n">
        <v>645833</v>
      </c>
      <c r="F185" s="63" t="inlineStr">
        <is>
          <t xml:space="preserve">Yeasir Arafat </t>
        </is>
      </c>
      <c r="G185" s="60" t="n">
        <v>1775642441</v>
      </c>
      <c r="H185" s="66" t="inlineStr">
        <is>
          <t>Gopalgonj</t>
        </is>
      </c>
      <c r="I185" s="63" t="inlineStr">
        <is>
          <t>Fashion</t>
        </is>
      </c>
      <c r="J185" s="63" t="inlineStr">
        <is>
          <t>Fashion</t>
        </is>
      </c>
      <c r="K185" s="62" t="n">
        <v>1099</v>
      </c>
      <c r="L185" s="63" t="inlineStr">
        <is>
          <t>Bata RAISE Slip-On Sandal</t>
        </is>
      </c>
      <c r="M185" s="79" t="inlineStr">
        <is>
          <t xml:space="preserve">Connected </t>
        </is>
      </c>
      <c r="N185" s="79" t="inlineStr">
        <is>
          <t>Yes</t>
        </is>
      </c>
      <c r="O185" s="79" t="inlineStr">
        <is>
          <t>No one was home</t>
        </is>
      </c>
      <c r="P185" s="79" t="inlineStr">
        <is>
          <t>customer requested to deliver at evening but deliveryman didn't resonse</t>
        </is>
      </c>
      <c r="Q185" s="79" t="n"/>
      <c r="R185" s="79" t="inlineStr">
        <is>
          <t>Yes (in time)</t>
        </is>
      </c>
      <c r="S185" s="79" t="inlineStr">
        <is>
          <t>No</t>
        </is>
      </c>
      <c r="T185" s="79" t="inlineStr">
        <is>
          <t>Didn’t try</t>
        </is>
      </c>
      <c r="U185" s="79" t="n"/>
      <c r="V185" s="79" t="n"/>
      <c r="W185" s="79" t="n">
        <v>6</v>
      </c>
      <c r="X185" s="79" t="n"/>
      <c r="Y185" s="79" t="inlineStr">
        <is>
          <t>Neutral</t>
        </is>
      </c>
      <c r="Z185" s="79" t="n"/>
    </row>
    <row r="186">
      <c r="A186" s="77" t="n"/>
      <c r="B186" s="78" t="n">
        <v>25091825378857</v>
      </c>
      <c r="C186" s="58" t="n"/>
      <c r="D186" s="65" t="n"/>
      <c r="E186" s="62" t="n">
        <v>699885</v>
      </c>
      <c r="F186" s="63" t="inlineStr">
        <is>
          <t xml:space="preserve">Mr./Ms. </t>
        </is>
      </c>
      <c r="G186" s="60" t="n">
        <v>1703293031</v>
      </c>
      <c r="H186" s="61" t="inlineStr">
        <is>
          <t>Gopalgonj</t>
        </is>
      </c>
      <c r="I186" s="63" t="inlineStr">
        <is>
          <t>Fashion</t>
        </is>
      </c>
      <c r="J186" s="63" t="inlineStr">
        <is>
          <t>Fashion</t>
        </is>
      </c>
      <c r="K186" s="62" t="n">
        <v>331</v>
      </c>
      <c r="L186" s="63" t="inlineStr">
        <is>
          <t>Trouser for mens stylish Comfortable sports jersey trouser Adidas Trouser</t>
        </is>
      </c>
      <c r="M186" s="79" t="n"/>
      <c r="N186" s="79" t="n"/>
      <c r="O186" s="79" t="n"/>
      <c r="P186" s="79" t="n"/>
      <c r="Q186" s="79" t="n"/>
      <c r="R186" s="79" t="n"/>
      <c r="S186" s="79" t="n"/>
      <c r="T186" s="79" t="n"/>
      <c r="U186" s="79" t="n"/>
      <c r="V186" s="79" t="n"/>
      <c r="W186" s="79" t="n"/>
      <c r="X186" s="79" t="n"/>
      <c r="Y186" s="79" t="n"/>
      <c r="Z186" s="79" t="n"/>
    </row>
    <row r="187">
      <c r="A187" s="77" t="n"/>
      <c r="B187" s="78" t="n">
        <v>25091912465039</v>
      </c>
      <c r="C187" s="58" t="n"/>
      <c r="D187" s="65" t="n"/>
      <c r="E187" s="62" t="n">
        <v>700080</v>
      </c>
      <c r="F187" s="63" t="inlineStr">
        <is>
          <t xml:space="preserve">Mr./Ms. </t>
        </is>
      </c>
      <c r="G187" s="60" t="n">
        <v>1905505516</v>
      </c>
      <c r="H187" s="66" t="inlineStr">
        <is>
          <t>Gopalgonj</t>
        </is>
      </c>
      <c r="I187" s="63" t="inlineStr">
        <is>
          <t>Fashion</t>
        </is>
      </c>
      <c r="J187" s="63" t="inlineStr">
        <is>
          <t>Watches Sunglasses Jewellery</t>
        </is>
      </c>
      <c r="K187" s="62" t="n">
        <v>182</v>
      </c>
      <c r="L187" s="63" t="inlineStr">
        <is>
          <t>CHINA custom sunglasses Stock Classical eyewear POLARIZED SUNGLASSES</t>
        </is>
      </c>
      <c r="M187" s="79" t="n"/>
      <c r="N187" s="79" t="n"/>
      <c r="O187" s="79" t="n"/>
      <c r="P187" s="79" t="n"/>
      <c r="Q187" s="79" t="n"/>
      <c r="R187" s="79" t="n"/>
      <c r="S187" s="79" t="n"/>
      <c r="T187" s="79" t="n"/>
      <c r="U187" s="79" t="n"/>
      <c r="V187" s="79" t="n"/>
      <c r="W187" s="79" t="n"/>
      <c r="X187" s="79" t="n"/>
      <c r="Y187" s="79" t="n"/>
      <c r="Z187" s="79" t="n"/>
    </row>
    <row r="188">
      <c r="A188" s="77" t="n"/>
      <c r="B188" s="78" t="n">
        <v>25091644741730</v>
      </c>
      <c r="C188" s="63" t="inlineStr">
        <is>
          <t>Arefin</t>
        </is>
      </c>
      <c r="D188" s="65" t="n"/>
      <c r="E188" s="62" t="n">
        <v>690088</v>
      </c>
      <c r="F188" s="63" t="inlineStr">
        <is>
          <t xml:space="preserve">Mr./Ms. </t>
        </is>
      </c>
      <c r="G188" s="60" t="n">
        <v>1402508701</v>
      </c>
      <c r="H188" s="61" t="inlineStr">
        <is>
          <t>Gazipur</t>
        </is>
      </c>
      <c r="I188" s="63" t="inlineStr">
        <is>
          <t>Electronics</t>
        </is>
      </c>
      <c r="J188" s="63" t="inlineStr">
        <is>
          <t>TV, Audio / Video, Gaming  Wearables</t>
        </is>
      </c>
      <c r="K188" s="62" t="n">
        <v>240</v>
      </c>
      <c r="L188" s="63" t="inlineStr">
        <is>
          <t>Lenovo airpods pro</t>
        </is>
      </c>
      <c r="M188" s="79" t="inlineStr">
        <is>
          <t>Not Connected</t>
        </is>
      </c>
      <c r="N188" s="79" t="n"/>
      <c r="O188" s="79" t="n"/>
      <c r="P188" s="79" t="n"/>
      <c r="Q188" s="79" t="n"/>
      <c r="R188" s="79" t="n"/>
      <c r="S188" s="79" t="n"/>
      <c r="T188" s="79" t="n"/>
      <c r="U188" s="79" t="n"/>
      <c r="V188" s="79" t="n"/>
      <c r="W188" s="79" t="n"/>
      <c r="X188" s="79" t="n"/>
      <c r="Y188" s="79" t="n"/>
      <c r="Z188" s="79" t="n"/>
    </row>
    <row r="189">
      <c r="A189" s="77" t="n"/>
      <c r="B189" s="78" t="n">
        <v>25091697429362</v>
      </c>
      <c r="C189" s="58" t="n"/>
      <c r="D189" s="65" t="n"/>
      <c r="E189" s="62" t="n">
        <v>691150</v>
      </c>
      <c r="F189" s="63" t="inlineStr">
        <is>
          <t xml:space="preserve">Mohammad Riad </t>
        </is>
      </c>
      <c r="G189" s="60" t="n">
        <v>1407891659</v>
      </c>
      <c r="H189" s="66" t="inlineStr">
        <is>
          <t>Gazipur</t>
        </is>
      </c>
      <c r="I189" s="63" t="inlineStr">
        <is>
          <t>Lifestyle</t>
        </is>
      </c>
      <c r="J189" s="63" t="inlineStr">
        <is>
          <t>Sports  Outdoors</t>
        </is>
      </c>
      <c r="K189" s="62" t="n">
        <v>249</v>
      </c>
      <c r="L189" s="63" t="inlineStr">
        <is>
          <t>Real Madrid (with embroidery) Spanish Club Football Jersey-Home Kit - real madrid jersey</t>
        </is>
      </c>
      <c r="M189" s="79" t="inlineStr">
        <is>
          <t>Not Connected</t>
        </is>
      </c>
      <c r="N189" s="79" t="n"/>
      <c r="O189" s="79" t="n"/>
      <c r="P189" s="79" t="n"/>
      <c r="Q189" s="79" t="n"/>
      <c r="R189" s="79" t="n"/>
      <c r="S189" s="79" t="n"/>
      <c r="T189" s="79" t="n"/>
      <c r="U189" s="79" t="n"/>
      <c r="V189" s="79" t="n"/>
      <c r="W189" s="79" t="n"/>
      <c r="X189" s="79" t="n"/>
      <c r="Y189" s="79" t="n"/>
      <c r="Z189" s="79" t="n"/>
    </row>
    <row r="190">
      <c r="A190" s="77" t="n"/>
      <c r="B190" s="78" t="n">
        <v>25091723478026</v>
      </c>
      <c r="C190" s="58" t="n"/>
      <c r="D190" s="65" t="n"/>
      <c r="E190" s="62" t="n">
        <v>695198</v>
      </c>
      <c r="F190" s="63" t="inlineStr">
        <is>
          <t xml:space="preserve">Mr./Ms. </t>
        </is>
      </c>
      <c r="G190" s="60" t="n">
        <v>1965702766</v>
      </c>
      <c r="H190" s="61" t="inlineStr">
        <is>
          <t>Gazipur</t>
        </is>
      </c>
      <c r="I190" s="63" t="inlineStr">
        <is>
          <t>Fashion</t>
        </is>
      </c>
      <c r="J190" s="63" t="inlineStr">
        <is>
          <t>Fashion</t>
        </is>
      </c>
      <c r="K190" s="62" t="n">
        <v>331</v>
      </c>
      <c r="L190" s="63" t="inlineStr">
        <is>
          <t>Slipper Sandal For Men</t>
        </is>
      </c>
      <c r="M190" s="79" t="inlineStr">
        <is>
          <t xml:space="preserve">Connected </t>
        </is>
      </c>
      <c r="N190" s="79" t="inlineStr">
        <is>
          <t>Yes</t>
        </is>
      </c>
      <c r="O190" s="79" t="inlineStr">
        <is>
          <t>Wrong Item</t>
        </is>
      </c>
      <c r="P190" s="79" t="n"/>
      <c r="Q190" s="79" t="n"/>
      <c r="R190" s="79" t="inlineStr">
        <is>
          <t>Yes (in time)</t>
        </is>
      </c>
      <c r="S190" s="79" t="inlineStr">
        <is>
          <t>No</t>
        </is>
      </c>
      <c r="T190" s="79" t="inlineStr">
        <is>
          <t>Didn’t try</t>
        </is>
      </c>
      <c r="U190" s="79" t="n"/>
      <c r="V190" s="79" t="n"/>
      <c r="W190" s="79" t="n">
        <v>10</v>
      </c>
      <c r="X190" s="79" t="n"/>
      <c r="Y190" s="79" t="inlineStr">
        <is>
          <t>Positive</t>
        </is>
      </c>
      <c r="Z190" s="79" t="n"/>
    </row>
    <row r="191">
      <c r="A191" s="77" t="n"/>
      <c r="B191" s="78" t="n">
        <v>25091734447120</v>
      </c>
      <c r="C191" s="58" t="n"/>
      <c r="D191" s="65" t="n"/>
      <c r="E191" s="62" t="n">
        <v>691173</v>
      </c>
      <c r="F191" s="63" t="inlineStr">
        <is>
          <t xml:space="preserve">MD ALAMIN </t>
        </is>
      </c>
      <c r="G191" s="60" t="n">
        <v>1914117536</v>
      </c>
      <c r="H191" s="61" t="inlineStr">
        <is>
          <t>Gazipur</t>
        </is>
      </c>
      <c r="I191" s="63" t="inlineStr">
        <is>
          <t>Lifestyle</t>
        </is>
      </c>
      <c r="J191" s="63" t="inlineStr">
        <is>
          <t>Media, Music  Books</t>
        </is>
      </c>
      <c r="K191" s="62" t="n">
        <v>3155</v>
      </c>
      <c r="L191" s="63" t="inlineStr">
        <is>
          <t>DARK DK-200B Semi Electric Guitar Basswood 6 Strings Folk Acoustic Guitar with Bag Picks</t>
        </is>
      </c>
      <c r="M191" s="79" t="inlineStr">
        <is>
          <t xml:space="preserve">Connected </t>
        </is>
      </c>
      <c r="N191" s="79" t="inlineStr">
        <is>
          <t>Yes</t>
        </is>
      </c>
      <c r="O191" s="79" t="inlineStr">
        <is>
          <t>Damaged Package</t>
        </is>
      </c>
      <c r="P191" s="79" t="inlineStr">
        <is>
          <t>The customer asked for delivery charge as he was returning the product</t>
        </is>
      </c>
      <c r="Q191" s="79" t="n"/>
      <c r="R191" s="79" t="inlineStr">
        <is>
          <t>Yes (in time)</t>
        </is>
      </c>
      <c r="S191" s="79" t="inlineStr">
        <is>
          <t>No</t>
        </is>
      </c>
      <c r="T191" s="79" t="inlineStr">
        <is>
          <t>Didn’t try</t>
        </is>
      </c>
      <c r="U191" s="79" t="n"/>
      <c r="V191" s="79" t="n"/>
      <c r="W191" s="79" t="n">
        <v>7</v>
      </c>
      <c r="X191" s="79" t="n"/>
      <c r="Y191" s="79" t="inlineStr">
        <is>
          <t>Neutral</t>
        </is>
      </c>
      <c r="Z191" s="79" t="n"/>
    </row>
    <row r="192">
      <c r="A192" s="77" t="n"/>
      <c r="B192" s="78" t="n">
        <v>25091612536890</v>
      </c>
      <c r="C192" s="58" t="n"/>
      <c r="D192" s="65" t="n"/>
      <c r="E192" s="62" t="n">
        <v>345196</v>
      </c>
      <c r="F192" s="63" t="inlineStr">
        <is>
          <t>Rajin Saleh</t>
        </is>
      </c>
      <c r="G192" s="60" t="n">
        <v>1642703084</v>
      </c>
      <c r="H192" s="61" t="inlineStr">
        <is>
          <t>Gaibandha</t>
        </is>
      </c>
      <c r="I192" s="63" t="inlineStr">
        <is>
          <t>Lifestyle</t>
        </is>
      </c>
      <c r="J192" s="63" t="inlineStr">
        <is>
          <t>Motors</t>
        </is>
      </c>
      <c r="K192" s="62" t="n">
        <v>1589</v>
      </c>
      <c r="L192" s="63" t="inlineStr">
        <is>
          <t>M1 5.2 Helmet Bluetooth Best Quality</t>
        </is>
      </c>
      <c r="M192" s="79" t="inlineStr">
        <is>
          <t xml:space="preserve">Connected </t>
        </is>
      </c>
      <c r="N192" s="79" t="inlineStr">
        <is>
          <t>Yes</t>
        </is>
      </c>
      <c r="O192" s="79" t="inlineStr">
        <is>
          <t>Damaged Package</t>
        </is>
      </c>
      <c r="P192" s="79" t="inlineStr">
        <is>
          <t>Product damage</t>
        </is>
      </c>
      <c r="Q192" s="79" t="n"/>
      <c r="R192" s="79" t="inlineStr">
        <is>
          <t>Yes (in time)</t>
        </is>
      </c>
      <c r="S192" s="79" t="inlineStr">
        <is>
          <t>Yes (resolved)</t>
        </is>
      </c>
      <c r="T192" s="79" t="inlineStr">
        <is>
          <t>Not required</t>
        </is>
      </c>
      <c r="U192" s="79" t="n"/>
      <c r="V192" s="79" t="n"/>
      <c r="W192" s="79" t="n">
        <v>9</v>
      </c>
      <c r="X192" s="79" t="inlineStr">
        <is>
          <t>Customer happy with cartup service</t>
        </is>
      </c>
      <c r="Y192" s="79" t="inlineStr">
        <is>
          <t>Positive</t>
        </is>
      </c>
      <c r="Z192" s="79" t="n"/>
    </row>
    <row r="193">
      <c r="A193" s="77" t="n"/>
      <c r="B193" s="78" t="n">
        <v>25092598836233</v>
      </c>
      <c r="C193" s="58" t="n"/>
      <c r="D193" s="65" t="n"/>
      <c r="E193" s="62" t="n">
        <v>375513</v>
      </c>
      <c r="F193" s="63" t="inlineStr">
        <is>
          <t>Md kawsar</t>
        </is>
      </c>
      <c r="G193" s="60" t="n">
        <v>1714369742</v>
      </c>
      <c r="H193" s="61" t="inlineStr">
        <is>
          <t>Gaibandha</t>
        </is>
      </c>
      <c r="I193" s="63" t="inlineStr">
        <is>
          <t>Lifestyle</t>
        </is>
      </c>
      <c r="J193" s="63" t="inlineStr">
        <is>
          <t>Kitchen  Dining</t>
        </is>
      </c>
      <c r="K193" s="62" t="n">
        <v>1962</v>
      </c>
      <c r="L193" s="63" t="inlineStr">
        <is>
          <t>Divided Plate 4 Section - Round 4 Compartment Stainless Steel Plate</t>
        </is>
      </c>
      <c r="M193" s="79" t="n"/>
      <c r="N193" s="79" t="n"/>
      <c r="O193" s="79" t="n"/>
      <c r="P193" s="79" t="n"/>
      <c r="Q193" s="79" t="n"/>
      <c r="R193" s="79" t="n"/>
      <c r="S193" s="79" t="n"/>
      <c r="T193" s="79" t="n"/>
      <c r="U193" s="79" t="n"/>
      <c r="V193" s="79" t="n"/>
      <c r="W193" s="79" t="n"/>
      <c r="X193" s="79" t="n"/>
      <c r="Y193" s="79" t="n"/>
      <c r="Z193" s="79" t="n"/>
    </row>
    <row r="194">
      <c r="A194" s="77" t="n"/>
      <c r="B194" s="78" t="n">
        <v>25092666429748</v>
      </c>
      <c r="C194" s="58" t="n"/>
      <c r="D194" s="65" t="n"/>
      <c r="E194" s="62" t="n">
        <v>725958</v>
      </c>
      <c r="F194" s="63" t="inlineStr">
        <is>
          <t xml:space="preserve">MD KHuSHI Mia </t>
        </is>
      </c>
      <c r="G194" s="60" t="n">
        <v>1794302435</v>
      </c>
      <c r="H194" s="61" t="inlineStr">
        <is>
          <t>Gaibandha</t>
        </is>
      </c>
      <c r="I194" s="63" t="inlineStr">
        <is>
          <t>Lifestyle</t>
        </is>
      </c>
      <c r="J194" s="63" t="inlineStr">
        <is>
          <t>Tools, DIY  Outdoor</t>
        </is>
      </c>
      <c r="K194" s="62" t="n">
        <v>432</v>
      </c>
      <c r="L194" s="63" t="inlineStr">
        <is>
          <t>Mini UPS Circuit Combo Pack For Router Onu CCTV Backup</t>
        </is>
      </c>
      <c r="M194" s="79" t="n"/>
      <c r="N194" s="79" t="n"/>
      <c r="O194" s="79" t="n"/>
      <c r="P194" s="79" t="n"/>
      <c r="Q194" s="79" t="n"/>
      <c r="R194" s="79" t="n"/>
      <c r="S194" s="79" t="n"/>
      <c r="T194" s="79" t="n"/>
      <c r="U194" s="79" t="n"/>
      <c r="V194" s="79" t="n"/>
      <c r="W194" s="79" t="n"/>
      <c r="X194" s="79" t="n"/>
      <c r="Y194" s="79" t="n"/>
      <c r="Z194" s="79" t="n"/>
    </row>
    <row r="195">
      <c r="A195" s="77" t="n"/>
      <c r="B195" s="78" t="n">
        <v>25091653350830</v>
      </c>
      <c r="C195" s="58" t="n"/>
      <c r="D195" s="65" t="n"/>
      <c r="E195" s="62" t="n">
        <v>689854</v>
      </c>
      <c r="F195" s="63" t="inlineStr">
        <is>
          <t xml:space="preserve">Mr./Ms. </t>
        </is>
      </c>
      <c r="G195" s="60" t="n">
        <v>1735852614</v>
      </c>
      <c r="H195" s="61" t="inlineStr">
        <is>
          <t>Feni</t>
        </is>
      </c>
      <c r="I195" s="63" t="inlineStr">
        <is>
          <t>Fashion</t>
        </is>
      </c>
      <c r="J195" s="63" t="inlineStr">
        <is>
          <t>Fashion</t>
        </is>
      </c>
      <c r="K195" s="62" t="n">
        <v>545</v>
      </c>
      <c r="L195" s="63" t="inlineStr">
        <is>
          <t>Loafer Styles' Rubber Sole Water Proof and Wind Proof Winter and Summer Shoe For Men Chocolate</t>
        </is>
      </c>
      <c r="M195" s="79" t="inlineStr">
        <is>
          <t xml:space="preserve">Connected </t>
        </is>
      </c>
      <c r="N195" s="79" t="inlineStr">
        <is>
          <t>Yes</t>
        </is>
      </c>
      <c r="O195" s="79" t="inlineStr">
        <is>
          <t>I refused</t>
        </is>
      </c>
      <c r="P195" s="79" t="inlineStr">
        <is>
          <t>Customer got exact same product but the size doesn't fit that's why he didn't receive the product.</t>
        </is>
      </c>
      <c r="Q195" s="79" t="n"/>
      <c r="R195" s="79" t="inlineStr">
        <is>
          <t>Yes (in time)</t>
        </is>
      </c>
      <c r="S195" s="79" t="inlineStr">
        <is>
          <t>No</t>
        </is>
      </c>
      <c r="T195" s="79" t="inlineStr">
        <is>
          <t>Didn’t try</t>
        </is>
      </c>
      <c r="U195" s="79" t="n"/>
      <c r="V195" s="79" t="n"/>
      <c r="W195" s="79" t="n">
        <v>8</v>
      </c>
      <c r="X195" s="79" t="inlineStr">
        <is>
          <t>First order didn't get correctly. So can't say any positive word about cartup.</t>
        </is>
      </c>
      <c r="Y195" s="79" t="inlineStr">
        <is>
          <t>Positive</t>
        </is>
      </c>
      <c r="Z195" s="79" t="n"/>
    </row>
    <row r="196">
      <c r="A196" s="77" t="n"/>
      <c r="B196" s="78" t="n">
        <v>25091734640890</v>
      </c>
      <c r="C196" s="58" t="n"/>
      <c r="D196" s="65" t="n"/>
      <c r="E196" s="62" t="n">
        <v>694996</v>
      </c>
      <c r="F196" s="63" t="inlineStr">
        <is>
          <t xml:space="preserve">shahed ahmed </t>
        </is>
      </c>
      <c r="G196" s="60" t="n">
        <v>1868180076</v>
      </c>
      <c r="H196" s="66" t="inlineStr">
        <is>
          <t>Feni</t>
        </is>
      </c>
      <c r="I196" s="63" t="inlineStr">
        <is>
          <t>Fashion</t>
        </is>
      </c>
      <c r="J196" s="63" t="inlineStr">
        <is>
          <t>Bags and Travel</t>
        </is>
      </c>
      <c r="K196" s="62" t="n">
        <v>575</v>
      </c>
      <c r="L196" s="63" t="inlineStr">
        <is>
          <t>Anti-theft Travel Bag Male USB Charging Chest Bag Pack Multifunction Patent Leather Chest Bag Men Waterproof Men Crossbody Bag</t>
        </is>
      </c>
      <c r="M196" s="79" t="inlineStr">
        <is>
          <t>Not Connected</t>
        </is>
      </c>
      <c r="N196" s="79" t="n"/>
      <c r="O196" s="79" t="n"/>
      <c r="P196" s="79" t="n"/>
      <c r="Q196" s="79" t="n"/>
      <c r="R196" s="79" t="n"/>
      <c r="S196" s="79" t="n"/>
      <c r="T196" s="79" t="n"/>
      <c r="U196" s="79" t="n"/>
      <c r="V196" s="79" t="n"/>
      <c r="W196" s="79" t="n"/>
      <c r="X196" s="79" t="n"/>
      <c r="Y196" s="79" t="n"/>
      <c r="Z196" s="79" t="n"/>
    </row>
    <row r="197">
      <c r="A197" s="77" t="n"/>
      <c r="B197" s="78" t="n">
        <v>25091834519511</v>
      </c>
      <c r="C197" s="58" t="n"/>
      <c r="D197" s="65" t="n"/>
      <c r="E197" s="62" t="n">
        <v>363048</v>
      </c>
      <c r="F197" s="63" t="inlineStr">
        <is>
          <t>Md Nawaf</t>
        </is>
      </c>
      <c r="G197" s="60" t="n">
        <v>1344621405</v>
      </c>
      <c r="H197" s="66" t="inlineStr">
        <is>
          <t>Feni</t>
        </is>
      </c>
      <c r="I197" s="63" t="inlineStr">
        <is>
          <t>Lifestyle</t>
        </is>
      </c>
      <c r="J197" s="63" t="inlineStr">
        <is>
          <t>Motors</t>
        </is>
      </c>
      <c r="K197" s="62" t="n">
        <v>499</v>
      </c>
      <c r="L197" s="63" t="inlineStr">
        <is>
          <t>Electronic Magic Bar Vape 2500 Puff Disposable Cigarette Puff Bar</t>
        </is>
      </c>
      <c r="M197" s="79" t="n"/>
      <c r="N197" s="79" t="n"/>
      <c r="O197" s="79" t="n"/>
      <c r="P197" s="79" t="n"/>
      <c r="Q197" s="79" t="n"/>
      <c r="R197" s="79" t="n"/>
      <c r="S197" s="79" t="n"/>
      <c r="T197" s="79" t="n"/>
      <c r="U197" s="79" t="n"/>
      <c r="V197" s="79" t="n"/>
      <c r="W197" s="79" t="n"/>
      <c r="X197" s="79" t="n"/>
      <c r="Y197" s="79" t="n"/>
      <c r="Z197" s="79" t="n"/>
    </row>
    <row r="198">
      <c r="A198" s="77" t="n"/>
      <c r="B198" s="78" t="n">
        <v>25091911756595</v>
      </c>
      <c r="C198" s="58" t="n"/>
      <c r="D198" s="65" t="n"/>
      <c r="E198" s="62" t="n">
        <v>698676</v>
      </c>
      <c r="F198" s="63" t="inlineStr">
        <is>
          <t xml:space="preserve">Mahin Akondo </t>
        </is>
      </c>
      <c r="G198" s="60" t="n">
        <v>1829156846</v>
      </c>
      <c r="H198" s="61" t="inlineStr">
        <is>
          <t>Feni</t>
        </is>
      </c>
      <c r="I198" s="63" t="inlineStr">
        <is>
          <t>Electronics</t>
        </is>
      </c>
      <c r="J198" s="63" t="inlineStr">
        <is>
          <t>TV, Audio / Video, Gaming  Wearables</t>
        </is>
      </c>
      <c r="K198" s="62" t="n">
        <v>444</v>
      </c>
      <c r="L198" s="63" t="inlineStr">
        <is>
          <t>K9 Double Wireless Dual Microphone For Smartphone</t>
        </is>
      </c>
      <c r="M198" s="79" t="n"/>
      <c r="N198" s="79" t="n"/>
      <c r="O198" s="79" t="n"/>
      <c r="P198" s="79" t="n"/>
      <c r="Q198" s="79" t="n"/>
      <c r="R198" s="79" t="n"/>
      <c r="S198" s="79" t="n"/>
      <c r="T198" s="79" t="n"/>
      <c r="U198" s="79" t="n"/>
      <c r="V198" s="79" t="n"/>
      <c r="W198" s="79" t="n"/>
      <c r="X198" s="79" t="n"/>
      <c r="Y198" s="79" t="n"/>
      <c r="Z198" s="79" t="n"/>
    </row>
    <row r="199">
      <c r="A199" s="77" t="n"/>
      <c r="B199" s="78" t="n">
        <v>25091664613986</v>
      </c>
      <c r="C199" s="58" t="n"/>
      <c r="D199" s="65" t="n"/>
      <c r="E199" s="62" t="n">
        <v>683009</v>
      </c>
      <c r="F199" s="63" t="inlineStr">
        <is>
          <t xml:space="preserve">Zit Mondol </t>
        </is>
      </c>
      <c r="G199" s="60" t="n">
        <v>1627053850</v>
      </c>
      <c r="H199" s="61" t="inlineStr">
        <is>
          <t>Faridpur</t>
        </is>
      </c>
      <c r="I199" s="63" t="inlineStr">
        <is>
          <t>Electronics</t>
        </is>
      </c>
      <c r="J199" s="63" t="inlineStr">
        <is>
          <t>TV, Audio / Video, Gaming  Wearables</t>
        </is>
      </c>
      <c r="K199" s="62" t="n">
        <v>855</v>
      </c>
      <c r="L199" s="63" t="inlineStr">
        <is>
          <t>ZK-502M 50W+50W Mini BT-Compatible 5.0 Power Audio Amplifier Board Stereo Music Amplificad Module Home Theater</t>
        </is>
      </c>
      <c r="M199" s="79" t="inlineStr">
        <is>
          <t>Not Connected</t>
        </is>
      </c>
      <c r="N199" s="79" t="n"/>
      <c r="O199" s="79" t="n"/>
      <c r="P199" s="79" t="n"/>
      <c r="Q199" s="79" t="n"/>
      <c r="R199" s="79" t="n"/>
      <c r="S199" s="79" t="n"/>
      <c r="T199" s="79" t="n"/>
      <c r="U199" s="79" t="n"/>
      <c r="V199" s="79" t="n"/>
      <c r="W199" s="79" t="n"/>
      <c r="X199" s="79" t="n"/>
      <c r="Y199" s="79" t="n"/>
      <c r="Z199" s="79" t="n"/>
    </row>
    <row r="200">
      <c r="A200" s="77" t="n"/>
      <c r="B200" s="78" t="n">
        <v>25091689734302</v>
      </c>
      <c r="C200" s="58" t="n"/>
      <c r="D200" s="65" t="n"/>
      <c r="E200" s="62" t="n">
        <v>171036</v>
      </c>
      <c r="F200" s="63" t="inlineStr">
        <is>
          <t>Siyam Khan Khan</t>
        </is>
      </c>
      <c r="G200" s="60" t="n">
        <v>1706954787</v>
      </c>
      <c r="H200" s="66" t="inlineStr">
        <is>
          <t>Faridpur</t>
        </is>
      </c>
      <c r="I200" s="63" t="inlineStr">
        <is>
          <t>Lifestyle</t>
        </is>
      </c>
      <c r="J200" s="63" t="inlineStr">
        <is>
          <t>Kitchen  Dining</t>
        </is>
      </c>
      <c r="K200" s="62" t="n">
        <v>916</v>
      </c>
      <c r="L200" s="63" t="inlineStr">
        <is>
          <t>Digital Hanging Weight Scale - Weiheng Electronic Portable LCD Scale with Double Precision Hook for Luggage and Travel</t>
        </is>
      </c>
      <c r="M200" s="79" t="inlineStr">
        <is>
          <t>Not Connected</t>
        </is>
      </c>
      <c r="N200" s="79" t="n"/>
      <c r="O200" s="79" t="n"/>
      <c r="P200" s="79" t="n"/>
      <c r="Q200" s="79" t="n"/>
      <c r="R200" s="79" t="n"/>
      <c r="S200" s="79" t="n"/>
      <c r="T200" s="79" t="n"/>
      <c r="U200" s="79" t="n"/>
      <c r="V200" s="79" t="n"/>
      <c r="W200" s="79" t="n"/>
      <c r="X200" s="79" t="n"/>
      <c r="Y200" s="79" t="n"/>
      <c r="Z200" s="79" t="n"/>
    </row>
    <row r="201">
      <c r="A201" s="77" t="n"/>
      <c r="B201" s="78" t="n">
        <v>25091740881493</v>
      </c>
      <c r="C201" s="58" t="n"/>
      <c r="D201" s="65" t="n"/>
      <c r="E201" s="62" t="n">
        <v>524209</v>
      </c>
      <c r="F201" s="63" t="inlineStr">
        <is>
          <t xml:space="preserve">Hasan Xmi </t>
        </is>
      </c>
      <c r="G201" s="60" t="n">
        <v>1732423455</v>
      </c>
      <c r="H201" s="66" t="inlineStr">
        <is>
          <t>Faridpur</t>
        </is>
      </c>
      <c r="I201" s="63" t="inlineStr">
        <is>
          <t>FMCG</t>
        </is>
      </c>
      <c r="J201" s="63" t="inlineStr">
        <is>
          <t>Health  Beauty</t>
        </is>
      </c>
      <c r="K201" s="62" t="n">
        <v>290</v>
      </c>
      <c r="L201" s="63" t="inlineStr">
        <is>
          <t>T9 Vintage USB Type-C Rechargeable Professional Cordless Hair Trimmer</t>
        </is>
      </c>
      <c r="M201" s="79" t="inlineStr">
        <is>
          <t xml:space="preserve">Connected </t>
        </is>
      </c>
      <c r="N201" s="79" t="inlineStr">
        <is>
          <t>No</t>
        </is>
      </c>
      <c r="O201" s="79" t="n"/>
      <c r="P201" s="79" t="n"/>
      <c r="Q201" s="79" t="n"/>
      <c r="R201" s="79" t="n"/>
      <c r="S201" s="79" t="n"/>
      <c r="T201" s="79" t="n"/>
      <c r="U201" s="79" t="n"/>
      <c r="V201" s="79" t="n"/>
      <c r="W201" s="79" t="n"/>
      <c r="X201" s="79" t="n"/>
      <c r="Y201" s="79" t="n"/>
      <c r="Z201" s="79" t="n"/>
    </row>
    <row r="202">
      <c r="A202" s="77" t="n"/>
      <c r="B202" s="78" t="n">
        <v>25091791563788</v>
      </c>
      <c r="C202" s="58" t="n"/>
      <c r="D202" s="65" t="n"/>
      <c r="E202" s="62" t="n">
        <v>171348</v>
      </c>
      <c r="F202" s="63" t="inlineStr">
        <is>
          <t xml:space="preserve">Annihilation BD-71 </t>
        </is>
      </c>
      <c r="G202" s="60" t="n">
        <v>1819865978</v>
      </c>
      <c r="H202" s="61" t="inlineStr">
        <is>
          <t>Faridpur</t>
        </is>
      </c>
      <c r="I202" s="63" t="inlineStr">
        <is>
          <t>FMCG</t>
        </is>
      </c>
      <c r="J202" s="63" t="inlineStr">
        <is>
          <t>Health  Beauty</t>
        </is>
      </c>
      <c r="K202" s="62" t="n">
        <v>240</v>
      </c>
      <c r="L202" s="63" t="inlineStr">
        <is>
          <t>5-In-1 Facial Body Beauty Care Massager Electric Machine Roller - Black Head Remover</t>
        </is>
      </c>
      <c r="M202" s="79" t="inlineStr">
        <is>
          <t>Not Connected</t>
        </is>
      </c>
      <c r="N202" s="79" t="n"/>
      <c r="O202" s="79" t="n"/>
      <c r="P202" s="79" t="n"/>
      <c r="Q202" s="79" t="n"/>
      <c r="R202" s="79" t="n"/>
      <c r="S202" s="79" t="n"/>
      <c r="T202" s="79" t="n"/>
      <c r="U202" s="79" t="n"/>
      <c r="V202" s="79" t="n"/>
      <c r="W202" s="79" t="n"/>
      <c r="X202" s="79" t="n"/>
      <c r="Y202" s="79" t="n"/>
      <c r="Z202" s="79" t="n"/>
    </row>
    <row r="203">
      <c r="A203" s="77" t="n"/>
      <c r="B203" s="78" t="n">
        <v>25092053981756</v>
      </c>
      <c r="C203" s="58" t="n"/>
      <c r="D203" s="65" t="n"/>
      <c r="E203" s="62" t="n">
        <v>501766</v>
      </c>
      <c r="F203" s="63" t="inlineStr">
        <is>
          <t xml:space="preserve">Mr./Ms. </t>
        </is>
      </c>
      <c r="G203" s="60" t="n">
        <v>1908353384</v>
      </c>
      <c r="H203" s="61" t="inlineStr">
        <is>
          <t>Dohar</t>
        </is>
      </c>
      <c r="I203" s="63" t="inlineStr">
        <is>
          <t>Lifestyle</t>
        </is>
      </c>
      <c r="J203" s="63" t="inlineStr">
        <is>
          <t>Bedding  Bath</t>
        </is>
      </c>
      <c r="K203" s="62" t="n">
        <v>466</v>
      </c>
      <c r="L203" s="63" t="inlineStr">
        <is>
          <t>AC HOME TEX Cotton King Size Bed Sheet 7 feet by 8 feet And Pillow Cover</t>
        </is>
      </c>
      <c r="M203" s="79" t="n"/>
      <c r="N203" s="79" t="n"/>
      <c r="O203" s="79" t="n"/>
      <c r="P203" s="79" t="n"/>
      <c r="Q203" s="79" t="n"/>
      <c r="R203" s="79" t="n"/>
      <c r="S203" s="79" t="n"/>
      <c r="T203" s="79" t="n"/>
      <c r="U203" s="79" t="n"/>
      <c r="V203" s="79" t="n"/>
      <c r="W203" s="79" t="n"/>
      <c r="X203" s="79" t="n"/>
      <c r="Y203" s="79" t="n"/>
      <c r="Z203" s="79" t="n"/>
    </row>
    <row r="204">
      <c r="A204" s="77" t="n"/>
      <c r="B204" s="78" t="n">
        <v>25093018969573</v>
      </c>
      <c r="C204" s="58" t="n"/>
      <c r="D204" s="65" t="n"/>
      <c r="E204" s="62" t="n">
        <v>737408</v>
      </c>
      <c r="F204" s="63" t="inlineStr">
        <is>
          <t xml:space="preserve">Shoaib Hasan </t>
        </is>
      </c>
      <c r="G204" s="60" t="n">
        <v>1834215881</v>
      </c>
      <c r="H204" s="66" t="inlineStr">
        <is>
          <t>Dohar</t>
        </is>
      </c>
      <c r="I204" s="63" t="inlineStr">
        <is>
          <t>Lifestyle</t>
        </is>
      </c>
      <c r="J204" s="63" t="inlineStr">
        <is>
          <t>Sports  Outdoors</t>
        </is>
      </c>
      <c r="K204" s="62" t="n">
        <v>103</v>
      </c>
      <c r="L204" s="63" t="inlineStr">
        <is>
          <t>Fashion Sport Water Bottle 500 ML. Drinking Water bottle, Personal Drinking Water bottle. Portable Sport Camping Cycling Travel Plastic Juice Water Bottle Cup.</t>
        </is>
      </c>
      <c r="M204" s="79" t="n"/>
      <c r="N204" s="79" t="n"/>
      <c r="O204" s="79" t="n"/>
      <c r="P204" s="79" t="n"/>
      <c r="Q204" s="79" t="n"/>
      <c r="R204" s="79" t="n"/>
      <c r="S204" s="79" t="n"/>
      <c r="T204" s="79" t="n"/>
      <c r="U204" s="79" t="n"/>
      <c r="V204" s="79" t="n"/>
      <c r="W204" s="79" t="n"/>
      <c r="X204" s="79" t="n"/>
      <c r="Y204" s="79" t="n"/>
      <c r="Z204" s="79" t="n"/>
    </row>
    <row r="205">
      <c r="A205" s="77" t="n"/>
      <c r="B205" s="78" t="n">
        <v>25091615878860</v>
      </c>
      <c r="C205" s="58" t="n"/>
      <c r="D205" s="65" t="n"/>
      <c r="E205" s="62" t="n">
        <v>690297</v>
      </c>
      <c r="F205" s="63" t="inlineStr">
        <is>
          <t xml:space="preserve">Joy Roy </t>
        </is>
      </c>
      <c r="G205" s="60" t="n">
        <v>1607784089</v>
      </c>
      <c r="H205" s="66" t="inlineStr">
        <is>
          <t>Dinajpur</t>
        </is>
      </c>
      <c r="I205" s="63" t="inlineStr">
        <is>
          <t>Electronics</t>
        </is>
      </c>
      <c r="J205" s="63" t="inlineStr">
        <is>
          <t>TV, Audio / Video, Gaming  Wearables</t>
        </is>
      </c>
      <c r="K205" s="62" t="n">
        <v>569</v>
      </c>
      <c r="L205" s="63" t="inlineStr">
        <is>
          <t>T900 Ultra 2 Men Smart Watch 2.19" HD Screen Bluetooth Calling Pedometer Heart Rate Blood Pressure Sleep Sports Watch for iPhone &amp; Andriod Phone-Orange</t>
        </is>
      </c>
      <c r="M205" s="79" t="inlineStr">
        <is>
          <t xml:space="preserve">Connected </t>
        </is>
      </c>
      <c r="N205" s="79" t="inlineStr">
        <is>
          <t>Yes</t>
        </is>
      </c>
      <c r="O205" s="79" t="inlineStr">
        <is>
          <t>No one was home</t>
        </is>
      </c>
      <c r="P205" s="79" t="n"/>
      <c r="Q205" s="79" t="n"/>
      <c r="R205" s="79" t="inlineStr">
        <is>
          <t>Yes (in time)</t>
        </is>
      </c>
      <c r="S205" s="79" t="inlineStr">
        <is>
          <t>No</t>
        </is>
      </c>
      <c r="T205" s="79" t="inlineStr">
        <is>
          <t>Not required</t>
        </is>
      </c>
      <c r="U205" s="70" t="n"/>
      <c r="V205" s="79" t="n"/>
      <c r="W205" s="79" t="n">
        <v>10</v>
      </c>
      <c r="X205" s="79" t="inlineStr">
        <is>
          <t>Customer happy with cartup service</t>
        </is>
      </c>
      <c r="Y205" s="79" t="inlineStr">
        <is>
          <t>Positive</t>
        </is>
      </c>
      <c r="Z205" s="79" t="n"/>
    </row>
    <row r="206">
      <c r="A206" s="77" t="n"/>
      <c r="B206" s="78" t="n">
        <v>25091820672583</v>
      </c>
      <c r="C206" s="58" t="n"/>
      <c r="D206" s="65" t="n"/>
      <c r="E206" s="62" t="n">
        <v>700061</v>
      </c>
      <c r="F206" s="63" t="inlineStr">
        <is>
          <t xml:space="preserve">Mkmoon Vai </t>
        </is>
      </c>
      <c r="G206" s="60" t="n">
        <v>1310114360</v>
      </c>
      <c r="H206" s="61" t="inlineStr">
        <is>
          <t>Dinajpur</t>
        </is>
      </c>
      <c r="I206" s="63" t="inlineStr">
        <is>
          <t>Lifestyle</t>
        </is>
      </c>
      <c r="J206" s="63" t="inlineStr">
        <is>
          <t>Motors</t>
        </is>
      </c>
      <c r="K206" s="62" t="n">
        <v>55</v>
      </c>
      <c r="L206" s="63" t="inlineStr">
        <is>
          <t>High Quality Micro Fiber Double Layer Towel for Bike/ Car Cleaning - 30*30cm</t>
        </is>
      </c>
      <c r="M206" s="79" t="inlineStr">
        <is>
          <t xml:space="preserve">Connected </t>
        </is>
      </c>
      <c r="N206" s="79" t="inlineStr">
        <is>
          <t>No</t>
        </is>
      </c>
      <c r="O206" s="79" t="n"/>
      <c r="P206" s="79" t="n"/>
      <c r="Q206" s="79" t="n"/>
      <c r="R206" s="79" t="n"/>
      <c r="S206" s="79" t="n"/>
      <c r="T206" s="79" t="n"/>
      <c r="U206" s="79" t="n"/>
      <c r="V206" s="79" t="n"/>
      <c r="W206" s="79" t="n"/>
      <c r="X206" s="79" t="n"/>
      <c r="Y206" s="79" t="n"/>
      <c r="Z206" s="79" t="n"/>
    </row>
    <row r="207">
      <c r="A207" s="77" t="n"/>
      <c r="B207" s="78" t="n">
        <v>25091845017581</v>
      </c>
      <c r="C207" s="58" t="n"/>
      <c r="D207" s="65" t="n"/>
      <c r="E207" s="62" t="n">
        <v>521665</v>
      </c>
      <c r="F207" s="63" t="inlineStr">
        <is>
          <t xml:space="preserve">Asmoun Islam </t>
        </is>
      </c>
      <c r="G207" s="60" t="n">
        <v>1755326409</v>
      </c>
      <c r="H207" s="61" t="inlineStr">
        <is>
          <t>Dinajpur</t>
        </is>
      </c>
      <c r="I207" s="63" t="inlineStr">
        <is>
          <t>FMCG</t>
        </is>
      </c>
      <c r="J207" s="63" t="inlineStr">
        <is>
          <t>Health  Beauty</t>
        </is>
      </c>
      <c r="K207" s="62" t="n">
        <v>93</v>
      </c>
      <c r="L207" s="63" t="inlineStr">
        <is>
          <t>Aloe Vera purity 99% Soothing Gel 300ml / CALMING &amp; MOISTURIZING / CHINESE MADE</t>
        </is>
      </c>
      <c r="M207" s="79" t="n"/>
      <c r="N207" s="79" t="n"/>
      <c r="O207" s="79" t="n"/>
      <c r="P207" s="79" t="n"/>
      <c r="Q207" s="79" t="n"/>
      <c r="R207" s="79" t="n"/>
      <c r="S207" s="79" t="n"/>
      <c r="T207" s="79" t="n"/>
      <c r="U207" s="79" t="n"/>
      <c r="V207" s="79" t="n"/>
      <c r="W207" s="79" t="n"/>
      <c r="X207" s="79" t="n"/>
      <c r="Y207" s="79" t="n"/>
      <c r="Z207" s="79" t="n"/>
    </row>
    <row r="208">
      <c r="A208" s="77" t="n"/>
      <c r="B208" s="78" t="n">
        <v>25091969613964</v>
      </c>
      <c r="C208" s="58" t="n"/>
      <c r="D208" s="65" t="n"/>
      <c r="E208" s="62" t="n">
        <v>703235</v>
      </c>
      <c r="F208" s="63" t="inlineStr">
        <is>
          <t xml:space="preserve">Sompot Roy </t>
        </is>
      </c>
      <c r="G208" s="60" t="n">
        <v>1719382781</v>
      </c>
      <c r="H208" s="61" t="inlineStr">
        <is>
          <t>Dinajpur</t>
        </is>
      </c>
      <c r="I208" s="63" t="inlineStr">
        <is>
          <t>Fashion</t>
        </is>
      </c>
      <c r="J208" s="63" t="inlineStr">
        <is>
          <t>Fashion</t>
        </is>
      </c>
      <c r="K208" s="62" t="n">
        <v>320</v>
      </c>
      <c r="L208" s="63" t="inlineStr">
        <is>
          <t>Printed Combo Men's T-Shirt &amp; half Pant Combo Set</t>
        </is>
      </c>
      <c r="M208" s="79" t="n"/>
      <c r="N208" s="79" t="n"/>
      <c r="O208" s="79" t="n"/>
      <c r="P208" s="79" t="n"/>
      <c r="Q208" s="79" t="n"/>
      <c r="R208" s="79" t="n"/>
      <c r="S208" s="79" t="n"/>
      <c r="T208" s="79" t="n"/>
      <c r="U208" s="79" t="n"/>
      <c r="V208" s="79" t="n"/>
      <c r="W208" s="79" t="n"/>
      <c r="X208" s="79" t="n"/>
      <c r="Y208" s="79" t="n"/>
      <c r="Z208" s="79" t="n"/>
    </row>
    <row r="209">
      <c r="A209" s="77" t="n"/>
      <c r="B209" s="78" t="n">
        <v>25091699024534</v>
      </c>
      <c r="C209" s="58" t="n"/>
      <c r="D209" s="65" t="n"/>
      <c r="E209" s="62" t="n">
        <v>678122</v>
      </c>
      <c r="F209" s="63" t="inlineStr">
        <is>
          <t xml:space="preserve">তানিয়া চৌধুরী কুমিল্লা </t>
        </is>
      </c>
      <c r="G209" s="60" t="n">
        <v>1840357528</v>
      </c>
      <c r="H209" s="66" t="inlineStr">
        <is>
          <t>Cumilla</t>
        </is>
      </c>
      <c r="I209" s="63" t="inlineStr">
        <is>
          <t>Lifestyle</t>
        </is>
      </c>
      <c r="J209" s="63" t="inlineStr">
        <is>
          <t>Kitchen  Dining</t>
        </is>
      </c>
      <c r="K209" s="62" t="n">
        <v>240</v>
      </c>
      <c r="L209" s="63" t="inlineStr">
        <is>
          <t>First Deal Best Quality Digital Scale 10kg 1g Household Weight Scales Platform Electronic Balance Kitchen scale Baking Measure Food Cooking Tools</t>
        </is>
      </c>
      <c r="M209" s="79" t="inlineStr">
        <is>
          <t xml:space="preserve">Connected </t>
        </is>
      </c>
      <c r="N209" s="79" t="inlineStr">
        <is>
          <t>Yes</t>
        </is>
      </c>
      <c r="O209" s="79" t="inlineStr">
        <is>
          <t>No one was home</t>
        </is>
      </c>
      <c r="P209" s="79" t="n"/>
      <c r="Q209" s="79" t="n"/>
      <c r="R209" s="79" t="inlineStr">
        <is>
          <t>Yes (in time)</t>
        </is>
      </c>
      <c r="S209" s="79" t="inlineStr">
        <is>
          <t>No</t>
        </is>
      </c>
      <c r="T209" s="79" t="inlineStr">
        <is>
          <t>Didn’t try</t>
        </is>
      </c>
      <c r="U209" s="79" t="n"/>
      <c r="V209" s="79" t="n"/>
      <c r="W209" s="79" t="n">
        <v>8</v>
      </c>
      <c r="X209" s="79" t="n"/>
      <c r="Y209" s="79" t="inlineStr">
        <is>
          <t>Positive</t>
        </is>
      </c>
      <c r="Z209" s="79" t="n"/>
    </row>
    <row r="210">
      <c r="A210" s="77" t="n"/>
      <c r="B210" s="78" t="n">
        <v>25091723425103</v>
      </c>
      <c r="C210" s="58" t="n"/>
      <c r="D210" s="65" t="n"/>
      <c r="E210" s="62" t="n">
        <v>696796</v>
      </c>
      <c r="F210" s="63" t="inlineStr">
        <is>
          <t xml:space="preserve">Mr./Ms. </t>
        </is>
      </c>
      <c r="G210" s="60" t="n">
        <v>1628280165</v>
      </c>
      <c r="H210" s="61" t="inlineStr">
        <is>
          <t>Cumilla</t>
        </is>
      </c>
      <c r="I210" s="63" t="inlineStr">
        <is>
          <t>Electronics</t>
        </is>
      </c>
      <c r="J210" s="63" t="inlineStr">
        <is>
          <t>Mobiles  Tablets</t>
        </is>
      </c>
      <c r="K210" s="62" t="n">
        <v>199</v>
      </c>
      <c r="L210" s="63" t="inlineStr">
        <is>
          <t>For Redmi Note 13 Pro Plus Silicon Back Cover</t>
        </is>
      </c>
      <c r="M210" s="79" t="inlineStr">
        <is>
          <t xml:space="preserve">Connected </t>
        </is>
      </c>
      <c r="N210" s="79" t="inlineStr">
        <is>
          <t>Yes</t>
        </is>
      </c>
      <c r="O210" s="79" t="inlineStr">
        <is>
          <t>Courier didn’t wait</t>
        </is>
      </c>
      <c r="P210" s="79" t="inlineStr">
        <is>
          <t>It was raining so customer requested to wait rider didn't wait</t>
        </is>
      </c>
      <c r="Q210" s="79" t="n"/>
      <c r="R210" s="79" t="inlineStr">
        <is>
          <t>Yes (in time)</t>
        </is>
      </c>
      <c r="S210" s="79" t="inlineStr">
        <is>
          <t>No</t>
        </is>
      </c>
      <c r="T210" s="79" t="inlineStr">
        <is>
          <t>Didn’t try</t>
        </is>
      </c>
      <c r="U210" s="79" t="n"/>
      <c r="V210" s="79" t="n"/>
      <c r="W210" s="79" t="n">
        <v>3</v>
      </c>
      <c r="X210" s="79" t="n"/>
      <c r="Y210" s="79" t="inlineStr">
        <is>
          <t>Neutral</t>
        </is>
      </c>
      <c r="Z210" s="79" t="n"/>
    </row>
    <row r="211">
      <c r="A211" s="77" t="n"/>
      <c r="B211" s="78" t="n">
        <v>25091822973037</v>
      </c>
      <c r="C211" s="58" t="n"/>
      <c r="D211" s="65" t="n"/>
      <c r="E211" s="62" t="n">
        <v>13387</v>
      </c>
      <c r="F211" s="63" t="inlineStr">
        <is>
          <t>Mahmudul Hasan Robin</t>
        </is>
      </c>
      <c r="G211" s="60" t="n">
        <v>1612606138</v>
      </c>
      <c r="H211" s="61" t="inlineStr">
        <is>
          <t>Cumilla</t>
        </is>
      </c>
      <c r="I211" s="63" t="inlineStr">
        <is>
          <t>Electronics</t>
        </is>
      </c>
      <c r="J211" s="63" t="inlineStr">
        <is>
          <t>Computers  Laptops</t>
        </is>
      </c>
      <c r="K211" s="62" t="n">
        <v>1571</v>
      </c>
      <c r="L211" s="63" t="inlineStr">
        <is>
          <t>TP-Link TL-WR841N 300Mbps Wireless-N Wi-Fi Router</t>
        </is>
      </c>
      <c r="M211" s="79" t="inlineStr">
        <is>
          <t xml:space="preserve">Connected </t>
        </is>
      </c>
      <c r="N211" s="79" t="inlineStr">
        <is>
          <t>No</t>
        </is>
      </c>
      <c r="O211" s="79" t="n"/>
      <c r="P211" s="79" t="n"/>
      <c r="Q211" s="79" t="n"/>
      <c r="R211" s="79" t="n"/>
      <c r="S211" s="79" t="n"/>
      <c r="T211" s="79" t="n"/>
      <c r="U211" s="79" t="n"/>
      <c r="V211" s="79" t="n"/>
      <c r="W211" s="79" t="n"/>
      <c r="X211" s="79" t="n"/>
      <c r="Y211" s="79" t="n"/>
      <c r="Z211" s="79" t="n"/>
    </row>
    <row r="212">
      <c r="A212" s="77" t="n"/>
      <c r="B212" s="78" t="n">
        <v>25091918103410</v>
      </c>
      <c r="C212" s="58" t="n"/>
      <c r="D212" s="65" t="n"/>
      <c r="E212" s="62" t="n">
        <v>701738</v>
      </c>
      <c r="F212" s="63" t="inlineStr">
        <is>
          <t xml:space="preserve">Md Forhad </t>
        </is>
      </c>
      <c r="G212" s="60" t="n">
        <v>1806797925</v>
      </c>
      <c r="H212" s="66" t="inlineStr">
        <is>
          <t>Cumilla</t>
        </is>
      </c>
      <c r="I212" s="63" t="inlineStr">
        <is>
          <t>Fashion</t>
        </is>
      </c>
      <c r="J212" s="63" t="inlineStr">
        <is>
          <t>Watches Sunglasses Jewellery</t>
        </is>
      </c>
      <c r="K212" s="62" t="n">
        <v>291</v>
      </c>
      <c r="L212" s="63" t="inlineStr">
        <is>
          <t>Anti-Reflective Black Uv400 Squre Shape Sunglass For Man - Sun Glass For Men - Sunglasses For Men -  - Sun Glass For Men - Sun Glass - Sun Glass</t>
        </is>
      </c>
      <c r="M212" s="79" t="inlineStr">
        <is>
          <t xml:space="preserve">Connected </t>
        </is>
      </c>
      <c r="N212" s="79" t="inlineStr">
        <is>
          <t>Yes</t>
        </is>
      </c>
      <c r="O212" s="79" t="inlineStr">
        <is>
          <t>Other</t>
        </is>
      </c>
      <c r="P212" s="79" t="inlineStr">
        <is>
          <t>Customer didn't order someone else did</t>
        </is>
      </c>
      <c r="Q212" s="79" t="n"/>
      <c r="R212" s="79" t="n"/>
      <c r="S212" s="79" t="n"/>
      <c r="T212" s="79" t="n"/>
      <c r="U212" s="79" t="n"/>
      <c r="V212" s="79" t="n"/>
      <c r="W212" s="79" t="n"/>
      <c r="X212" s="79" t="n"/>
      <c r="Y212" s="79" t="n"/>
      <c r="Z212" s="79" t="n"/>
    </row>
    <row r="213">
      <c r="A213" s="77" t="n"/>
      <c r="B213" s="78" t="n">
        <v>25091649842735</v>
      </c>
      <c r="C213" s="63" t="inlineStr">
        <is>
          <t>Arefin</t>
        </is>
      </c>
      <c r="D213" s="65" t="n"/>
      <c r="E213" s="62" t="n">
        <v>270896</v>
      </c>
      <c r="F213" s="63" t="inlineStr">
        <is>
          <t xml:space="preserve">Abdul Mabud </t>
        </is>
      </c>
      <c r="G213" s="60" t="n">
        <v>1811992262</v>
      </c>
      <c r="H213" s="66" t="inlineStr">
        <is>
          <t>Cox's Bazar</t>
        </is>
      </c>
      <c r="I213" s="63" t="inlineStr">
        <is>
          <t>Electronics</t>
        </is>
      </c>
      <c r="J213" s="63" t="inlineStr">
        <is>
          <t>Mobiles  Tablets</t>
        </is>
      </c>
      <c r="K213" s="62" t="n">
        <v>699</v>
      </c>
      <c r="L213" s="63" t="inlineStr">
        <is>
          <t>Samsung 45W PD Fast Charging Adapter /Charger Type-C to Type-C with Cable</t>
        </is>
      </c>
      <c r="M213" s="79" t="inlineStr">
        <is>
          <t xml:space="preserve">Connected </t>
        </is>
      </c>
      <c r="N213" s="79" t="inlineStr">
        <is>
          <t>Yes</t>
        </is>
      </c>
      <c r="O213" s="79" t="inlineStr">
        <is>
          <t>Low Quality</t>
        </is>
      </c>
      <c r="P213" s="79" t="n"/>
      <c r="Q213" s="79" t="n"/>
      <c r="R213" s="79" t="inlineStr">
        <is>
          <t>Yes (last moment)</t>
        </is>
      </c>
      <c r="S213" s="79" t="inlineStr">
        <is>
          <t>No</t>
        </is>
      </c>
      <c r="T213" s="79" t="inlineStr">
        <is>
          <t>Didn’t try</t>
        </is>
      </c>
      <c r="U213" s="79" t="n"/>
      <c r="V213" s="79" t="n"/>
      <c r="W213" s="79" t="n">
        <v>7</v>
      </c>
      <c r="X213" s="79" t="n"/>
      <c r="Y213" s="79" t="inlineStr">
        <is>
          <t>Positive</t>
        </is>
      </c>
      <c r="Z213" s="79" t="n"/>
    </row>
    <row r="214">
      <c r="A214" s="77" t="n"/>
      <c r="B214" s="78" t="n">
        <v>25091688399908</v>
      </c>
      <c r="C214" s="58" t="n"/>
      <c r="D214" s="65" t="n"/>
      <c r="E214" s="62" t="n">
        <v>270896</v>
      </c>
      <c r="F214" s="63" t="inlineStr">
        <is>
          <t xml:space="preserve">Abdul Mabud </t>
        </is>
      </c>
      <c r="G214" s="60" t="n">
        <v>1811992262</v>
      </c>
      <c r="H214" s="66" t="inlineStr">
        <is>
          <t>Cox's Bazar</t>
        </is>
      </c>
      <c r="I214" s="63" t="inlineStr">
        <is>
          <t>Electronics</t>
        </is>
      </c>
      <c r="J214" s="63" t="inlineStr">
        <is>
          <t>Mobiles  Tablets</t>
        </is>
      </c>
      <c r="K214" s="62" t="n">
        <v>743</v>
      </c>
      <c r="L214" s="63" t="inlineStr">
        <is>
          <t>For Samsung Galaxy S22 Ultra 45W Super Fast Charger PD GALAXY S23 Ultra S22 Ultra S22 Plus S21 Ultra Note 20 Ultra Note 10 Plus 5G A91</t>
        </is>
      </c>
      <c r="M214" s="79" t="inlineStr">
        <is>
          <t xml:space="preserve">Connected </t>
        </is>
      </c>
      <c r="N214" s="79" t="inlineStr">
        <is>
          <t>No</t>
        </is>
      </c>
      <c r="O214" s="79" t="n"/>
      <c r="P214" s="79" t="n"/>
      <c r="Q214" s="79" t="n"/>
      <c r="R214" s="79" t="n"/>
      <c r="S214" s="79" t="n"/>
      <c r="T214" s="79" t="n"/>
      <c r="U214" s="79" t="n"/>
      <c r="V214" s="79" t="n"/>
      <c r="W214" s="79" t="n"/>
      <c r="X214" s="79" t="n"/>
      <c r="Y214" s="79" t="n"/>
      <c r="Z214" s="79" t="n"/>
    </row>
    <row r="215">
      <c r="A215" s="77" t="n"/>
      <c r="B215" s="78" t="n">
        <v>25091719264525</v>
      </c>
      <c r="C215" s="58" t="n"/>
      <c r="D215" s="65" t="n"/>
      <c r="E215" s="62" t="n">
        <v>687493</v>
      </c>
      <c r="F215" s="63" t="inlineStr">
        <is>
          <t xml:space="preserve">Alim Uddin </t>
        </is>
      </c>
      <c r="G215" s="60" t="n">
        <v>1790463232</v>
      </c>
      <c r="H215" s="61" t="inlineStr">
        <is>
          <t>Cox's Bazar</t>
        </is>
      </c>
      <c r="I215" s="63" t="inlineStr">
        <is>
          <t>FMCG</t>
        </is>
      </c>
      <c r="J215" s="63" t="inlineStr">
        <is>
          <t>Groceries</t>
        </is>
      </c>
      <c r="K215" s="62" t="n">
        <v>380</v>
      </c>
      <c r="L215" s="63" t="inlineStr">
        <is>
          <t>Shutki - Mola Dry Fish - 100Gm</t>
        </is>
      </c>
      <c r="M215" s="79" t="inlineStr">
        <is>
          <t>Not Connected</t>
        </is>
      </c>
      <c r="N215" s="79" t="n"/>
      <c r="O215" s="79" t="n"/>
      <c r="P215" s="79" t="n"/>
      <c r="Q215" s="79" t="n"/>
      <c r="R215" s="79" t="n"/>
      <c r="S215" s="79" t="n"/>
      <c r="T215" s="79" t="n"/>
      <c r="U215" s="79" t="n"/>
      <c r="V215" s="79" t="n"/>
      <c r="W215" s="79" t="n"/>
      <c r="X215" s="79" t="n"/>
      <c r="Y215" s="79" t="n"/>
      <c r="Z215" s="79" t="n"/>
    </row>
    <row r="216">
      <c r="A216" s="77" t="n"/>
      <c r="B216" s="78" t="n">
        <v>25091755009386</v>
      </c>
      <c r="C216" s="58" t="n"/>
      <c r="D216" s="65" t="n"/>
      <c r="E216" s="62" t="n">
        <v>696260</v>
      </c>
      <c r="F216" s="63" t="inlineStr">
        <is>
          <t xml:space="preserve">zia ur </t>
        </is>
      </c>
      <c r="G216" s="60" t="n">
        <v>1787809601</v>
      </c>
      <c r="H216" s="61" t="inlineStr">
        <is>
          <t>Cox's Bazar</t>
        </is>
      </c>
      <c r="I216" s="63" t="inlineStr">
        <is>
          <t>Electronics</t>
        </is>
      </c>
      <c r="J216" s="63" t="inlineStr">
        <is>
          <t>TV, Audio / Video, Gaming  Wearables</t>
        </is>
      </c>
      <c r="K216" s="62" t="n">
        <v>242</v>
      </c>
      <c r="L216" s="63" t="inlineStr">
        <is>
          <t>Airpords Pro Black Edition True Wireless Earbuds</t>
        </is>
      </c>
      <c r="M216" s="79" t="inlineStr">
        <is>
          <t>Not Connected</t>
        </is>
      </c>
      <c r="N216" s="79" t="n"/>
      <c r="O216" s="79" t="n"/>
      <c r="P216" s="79" t="n"/>
      <c r="Q216" s="79" t="n"/>
      <c r="R216" s="79" t="n"/>
      <c r="S216" s="79" t="n"/>
      <c r="T216" s="79" t="n"/>
      <c r="U216" s="79" t="n"/>
      <c r="V216" s="79" t="n"/>
      <c r="W216" s="79" t="n"/>
      <c r="X216" s="79" t="n"/>
      <c r="Y216" s="79" t="n"/>
      <c r="Z216" s="79" t="n"/>
    </row>
    <row r="217">
      <c r="A217" s="77" t="n"/>
      <c r="B217" s="78" t="n">
        <v>25091788598305</v>
      </c>
      <c r="C217" s="58" t="n"/>
      <c r="D217" s="65" t="n"/>
      <c r="E217" s="62" t="n">
        <v>695333</v>
      </c>
      <c r="F217" s="63" t="inlineStr">
        <is>
          <t xml:space="preserve">Mr./Ms. </t>
        </is>
      </c>
      <c r="G217" s="60" t="n">
        <v>1820432905</v>
      </c>
      <c r="H217" s="66" t="inlineStr">
        <is>
          <t>Chuadanga</t>
        </is>
      </c>
      <c r="I217" s="63" t="inlineStr">
        <is>
          <t>Electronics</t>
        </is>
      </c>
      <c r="J217" s="63" t="inlineStr">
        <is>
          <t>Home Appliances</t>
        </is>
      </c>
      <c r="K217" s="62" t="n">
        <v>876</v>
      </c>
      <c r="L217" s="63" t="inlineStr">
        <is>
          <t>Mini Fan Type C Mobile Phone Cooling Fan</t>
        </is>
      </c>
      <c r="M217" s="79" t="inlineStr">
        <is>
          <t xml:space="preserve">Connected </t>
        </is>
      </c>
      <c r="N217" s="79" t="inlineStr">
        <is>
          <t>No</t>
        </is>
      </c>
      <c r="O217" s="79" t="n"/>
      <c r="P217" s="79" t="n"/>
      <c r="Q217" s="79" t="n"/>
      <c r="R217" s="79" t="n"/>
      <c r="S217" s="79" t="n"/>
      <c r="T217" s="79" t="n"/>
      <c r="U217" s="79" t="n"/>
      <c r="V217" s="79" t="n"/>
      <c r="W217" s="79" t="n"/>
      <c r="X217" s="79" t="n"/>
      <c r="Y217" s="79" t="n"/>
      <c r="Z217" s="79" t="n"/>
    </row>
    <row r="218">
      <c r="A218" s="77" t="n"/>
      <c r="B218" s="78" t="n">
        <v>25092069322547</v>
      </c>
      <c r="C218" s="58" t="n"/>
      <c r="D218" s="65" t="n"/>
      <c r="E218" s="62" t="n">
        <v>653971</v>
      </c>
      <c r="F218" s="63" t="inlineStr">
        <is>
          <t xml:space="preserve">MD Aminur Rahman </t>
        </is>
      </c>
      <c r="G218" s="60" t="n">
        <v>1927280632</v>
      </c>
      <c r="H218" s="66" t="inlineStr">
        <is>
          <t>Chuadanga</t>
        </is>
      </c>
      <c r="I218" s="63" t="inlineStr">
        <is>
          <t>Electronics</t>
        </is>
      </c>
      <c r="J218" s="63" t="inlineStr">
        <is>
          <t>Mobiles  Tablets</t>
        </is>
      </c>
      <c r="K218" s="62" t="n">
        <v>373</v>
      </c>
      <c r="L218" s="63" t="inlineStr">
        <is>
          <t>For Samsung Galaxy S22 Ultra 5G Magnetic Clear Case Wireless Charging Shockproof Cover</t>
        </is>
      </c>
      <c r="M218" s="79" t="inlineStr">
        <is>
          <t xml:space="preserve">Connected </t>
        </is>
      </c>
      <c r="N218" s="79" t="inlineStr">
        <is>
          <t>Yes</t>
        </is>
      </c>
      <c r="O218" s="79" t="inlineStr">
        <is>
          <t>No one was home</t>
        </is>
      </c>
      <c r="P218" s="79" t="n"/>
      <c r="Q218" s="79" t="n"/>
      <c r="R218" s="79" t="inlineStr">
        <is>
          <t>Yes (in time)</t>
        </is>
      </c>
      <c r="S218" s="79" t="inlineStr">
        <is>
          <t>No</t>
        </is>
      </c>
      <c r="T218" s="79" t="inlineStr">
        <is>
          <t>Didn’t try</t>
        </is>
      </c>
      <c r="U218" s="79" t="n"/>
      <c r="V218" s="79" t="n"/>
      <c r="W218" s="79" t="n">
        <v>8</v>
      </c>
      <c r="X218" s="79" t="inlineStr">
        <is>
          <t>Only problem with product quality</t>
        </is>
      </c>
      <c r="Y218" s="79" t="inlineStr">
        <is>
          <t>Neutral</t>
        </is>
      </c>
      <c r="Z218" s="79" t="n"/>
    </row>
    <row r="219">
      <c r="A219" s="77" t="n"/>
      <c r="B219" s="78" t="n">
        <v>25092316696339</v>
      </c>
      <c r="C219" s="58" t="n"/>
      <c r="D219" s="65" t="n"/>
      <c r="E219" s="62" t="n">
        <v>714284</v>
      </c>
      <c r="F219" s="63" t="inlineStr">
        <is>
          <t xml:space="preserve">Mr./Ms. </t>
        </is>
      </c>
      <c r="G219" s="60" t="n">
        <v>1927280632</v>
      </c>
      <c r="H219" s="61" t="inlineStr">
        <is>
          <t>Chuadanga</t>
        </is>
      </c>
      <c r="I219" s="63" t="inlineStr">
        <is>
          <t>Electronics</t>
        </is>
      </c>
      <c r="J219" s="63" t="inlineStr">
        <is>
          <t>Mobiles  Tablets</t>
        </is>
      </c>
      <c r="K219" s="62" t="n">
        <v>383</v>
      </c>
      <c r="L219" s="63" t="inlineStr">
        <is>
          <t>Samsung Galaxy S22 Ultra Silky Soft-Touch Liquid Silicone Phone Protective Cover Case for Samsung Galaxy S22 Ultra with logo</t>
        </is>
      </c>
      <c r="M219" s="79" t="inlineStr">
        <is>
          <t>Not Connected</t>
        </is>
      </c>
      <c r="N219" s="79" t="n"/>
      <c r="O219" s="79" t="n"/>
      <c r="P219" s="79" t="n"/>
      <c r="Q219" s="79" t="n"/>
      <c r="R219" s="79" t="n"/>
      <c r="S219" s="79" t="n"/>
      <c r="T219" s="79" t="n"/>
      <c r="U219" s="79" t="n"/>
      <c r="V219" s="79" t="n"/>
      <c r="W219" s="79" t="n"/>
      <c r="X219" s="79" t="n"/>
      <c r="Y219" s="79" t="n"/>
      <c r="Z219" s="79" t="n"/>
    </row>
    <row r="220">
      <c r="A220" s="77" t="n"/>
      <c r="B220" s="78" t="n">
        <v>25092416433837</v>
      </c>
      <c r="C220" s="58" t="n"/>
      <c r="D220" s="65" t="n"/>
      <c r="E220" s="62" t="n">
        <v>368971</v>
      </c>
      <c r="F220" s="63" t="inlineStr">
        <is>
          <t xml:space="preserve">Anower Hossin </t>
        </is>
      </c>
      <c r="G220" s="60" t="n">
        <v>1311286107</v>
      </c>
      <c r="H220" s="61" t="inlineStr">
        <is>
          <t>Chuadanga</t>
        </is>
      </c>
      <c r="I220" s="63" t="inlineStr">
        <is>
          <t>Lifestyle</t>
        </is>
      </c>
      <c r="J220" s="63" t="inlineStr">
        <is>
          <t>Tools, DIY  Outdoor</t>
        </is>
      </c>
      <c r="K220" s="62" t="n">
        <v>160</v>
      </c>
      <c r="L220" s="63" t="inlineStr">
        <is>
          <t>Small Drill Chuck Set 5mm Set 0.5-3.0mm drill collet for 775 DC Motor (only drill chuck)</t>
        </is>
      </c>
      <c r="M220" s="79" t="inlineStr">
        <is>
          <t>Not Connected</t>
        </is>
      </c>
      <c r="N220" s="79" t="n"/>
      <c r="O220" s="79" t="n"/>
      <c r="P220" s="79" t="n"/>
      <c r="Q220" s="79" t="n"/>
      <c r="R220" s="79" t="n"/>
      <c r="S220" s="79" t="n"/>
      <c r="T220" s="79" t="n"/>
      <c r="U220" s="79" t="n"/>
      <c r="V220" s="79" t="n"/>
      <c r="W220" s="79" t="n"/>
      <c r="X220" s="79" t="n"/>
      <c r="Y220" s="79" t="n"/>
      <c r="Z220" s="79" t="n"/>
    </row>
    <row r="221">
      <c r="A221" s="77" t="n"/>
      <c r="B221" s="78" t="n">
        <v>25091696573886</v>
      </c>
      <c r="C221" s="58" t="n"/>
      <c r="D221" s="65" t="n"/>
      <c r="E221" s="62" t="n">
        <v>689856</v>
      </c>
      <c r="F221" s="63" t="inlineStr">
        <is>
          <t xml:space="preserve">Jashim Chy </t>
        </is>
      </c>
      <c r="G221" s="60" t="n">
        <v>1819875460</v>
      </c>
      <c r="H221" s="66" t="inlineStr">
        <is>
          <t>Chattogram Sadar</t>
        </is>
      </c>
      <c r="I221" s="63" t="inlineStr">
        <is>
          <t>Lifestyle</t>
        </is>
      </c>
      <c r="J221" s="63" t="inlineStr">
        <is>
          <t>Laundry  Cleaning</t>
        </is>
      </c>
      <c r="K221" s="62" t="n">
        <v>3700</v>
      </c>
      <c r="L221" s="63" t="inlineStr">
        <is>
          <t>Nirala Ball Laundry Soap 125gm X 6Pieces</t>
        </is>
      </c>
      <c r="M221" s="79" t="inlineStr">
        <is>
          <t xml:space="preserve">Connected </t>
        </is>
      </c>
      <c r="N221" s="79" t="inlineStr">
        <is>
          <t>Yes</t>
        </is>
      </c>
      <c r="O221" s="79" t="inlineStr">
        <is>
          <t>Delivery agent didn’t come</t>
        </is>
      </c>
      <c r="P221" s="79" t="inlineStr">
        <is>
          <t>Customer requested deliveryman to delivery upstairs but deliveryman refused and also wasn't at the location as customer checked.</t>
        </is>
      </c>
      <c r="Q221" s="79" t="n"/>
      <c r="R221" s="79" t="inlineStr">
        <is>
          <t>Yes (in time)</t>
        </is>
      </c>
      <c r="S221" s="79" t="inlineStr">
        <is>
          <t>No</t>
        </is>
      </c>
      <c r="T221" s="79" t="inlineStr">
        <is>
          <t>Didn’t try</t>
        </is>
      </c>
      <c r="U221" s="79" t="n"/>
      <c r="V221" s="79" t="n"/>
      <c r="W221" s="79" t="n">
        <v>10</v>
      </c>
      <c r="X221" s="79" t="n"/>
      <c r="Y221" s="79" t="inlineStr">
        <is>
          <t>Neutral</t>
        </is>
      </c>
      <c r="Z221" s="79" t="n"/>
    </row>
    <row r="222">
      <c r="A222" s="77" t="n"/>
      <c r="B222" s="78" t="n">
        <v>25091697752082</v>
      </c>
      <c r="C222" s="58" t="n"/>
      <c r="D222" s="65" t="n"/>
      <c r="E222" s="62" t="n">
        <v>629828</v>
      </c>
      <c r="F222" s="63" t="inlineStr">
        <is>
          <t xml:space="preserve">Aziz Fahad </t>
        </is>
      </c>
      <c r="G222" s="60" t="n">
        <v>1580825983</v>
      </c>
      <c r="H222" s="66" t="inlineStr">
        <is>
          <t>Chattogram Sadar</t>
        </is>
      </c>
      <c r="I222" s="63" t="inlineStr">
        <is>
          <t>FMCG</t>
        </is>
      </c>
      <c r="J222" s="63" t="inlineStr">
        <is>
          <t>Mother  Baby</t>
        </is>
      </c>
      <c r="K222" s="62" t="n">
        <v>2480</v>
      </c>
      <c r="L222" s="63" t="inlineStr">
        <is>
          <t>Baby Walker with Adjustable Height and Musical Toy Bar Rattles and Toys Ultra Soft Seat. Activity Walker for New Born Baby</t>
        </is>
      </c>
      <c r="M222" s="79" t="inlineStr">
        <is>
          <t>Not Connected</t>
        </is>
      </c>
      <c r="N222" s="79" t="n"/>
      <c r="O222" s="79" t="n"/>
      <c r="P222" s="79" t="n"/>
      <c r="Q222" s="79" t="n"/>
      <c r="R222" s="79" t="n"/>
      <c r="S222" s="79" t="n"/>
      <c r="T222" s="79" t="n"/>
      <c r="U222" s="79" t="n"/>
      <c r="V222" s="79" t="n"/>
      <c r="W222" s="79" t="n"/>
      <c r="X222" s="79" t="n"/>
      <c r="Y222" s="79" t="n"/>
      <c r="Z222" s="79" t="n"/>
    </row>
    <row r="223">
      <c r="A223" s="77" t="n"/>
      <c r="B223" s="78" t="n">
        <v>25091867638944</v>
      </c>
      <c r="C223" s="58" t="n"/>
      <c r="D223" s="65" t="n"/>
      <c r="E223" s="62" t="n">
        <v>270188</v>
      </c>
      <c r="F223" s="63" t="inlineStr">
        <is>
          <t xml:space="preserve">Md.Aris Ul Faisal </t>
        </is>
      </c>
      <c r="G223" s="60" t="n">
        <v>1911292649</v>
      </c>
      <c r="H223" s="66" t="inlineStr">
        <is>
          <t>Chattogram Sadar</t>
        </is>
      </c>
      <c r="I223" s="63" t="inlineStr">
        <is>
          <t>Electronics</t>
        </is>
      </c>
      <c r="J223" s="63" t="inlineStr">
        <is>
          <t>Computers  Laptops</t>
        </is>
      </c>
      <c r="K223" s="62" t="n">
        <v>280</v>
      </c>
      <c r="L223" s="63" t="inlineStr">
        <is>
          <t>Office Mouse Pad - Multicolor</t>
        </is>
      </c>
      <c r="M223" s="79" t="inlineStr">
        <is>
          <t>Not Connected</t>
        </is>
      </c>
      <c r="N223" s="79" t="n"/>
      <c r="O223" s="79" t="n"/>
      <c r="P223" s="79" t="n"/>
      <c r="Q223" s="79" t="n"/>
      <c r="R223" s="79" t="n"/>
      <c r="S223" s="79" t="n"/>
      <c r="T223" s="79" t="n"/>
      <c r="U223" s="79" t="n"/>
      <c r="V223" s="79" t="n"/>
      <c r="W223" s="79" t="n"/>
      <c r="X223" s="79" t="n"/>
      <c r="Y223" s="79" t="n"/>
      <c r="Z223" s="79" t="n"/>
    </row>
    <row r="224">
      <c r="A224" s="77" t="n"/>
      <c r="B224" s="78" t="n">
        <v>25091891933062</v>
      </c>
      <c r="C224" s="58" t="n"/>
      <c r="D224" s="65" t="n"/>
      <c r="E224" s="62" t="n">
        <v>689856</v>
      </c>
      <c r="F224" s="63" t="inlineStr">
        <is>
          <t xml:space="preserve">Jashim Chy </t>
        </is>
      </c>
      <c r="G224" s="60" t="n">
        <v>1819875460</v>
      </c>
      <c r="H224" s="66" t="inlineStr">
        <is>
          <t>Chattogram Sadar</t>
        </is>
      </c>
      <c r="I224" s="63" t="inlineStr">
        <is>
          <t>Electronics</t>
        </is>
      </c>
      <c r="J224" s="63" t="inlineStr">
        <is>
          <t>Mobiles  Tablets</t>
        </is>
      </c>
      <c r="K224" s="62" t="n">
        <v>1340</v>
      </c>
      <c r="L224" s="63" t="inlineStr">
        <is>
          <t>Awei P13K 22.5W PD Powerbank 20000mAh Fast Charging</t>
        </is>
      </c>
      <c r="M224" s="79" t="inlineStr">
        <is>
          <t xml:space="preserve">Connected </t>
        </is>
      </c>
      <c r="N224" s="79" t="inlineStr">
        <is>
          <t>No</t>
        </is>
      </c>
      <c r="O224" s="79" t="n"/>
      <c r="P224" s="79" t="n"/>
      <c r="Q224" s="79" t="n"/>
      <c r="R224" s="79" t="n"/>
      <c r="S224" s="79" t="n"/>
      <c r="T224" s="79" t="n"/>
      <c r="U224" s="79" t="n"/>
      <c r="V224" s="79" t="n"/>
      <c r="W224" s="79" t="n"/>
      <c r="X224" s="79" t="n"/>
      <c r="Y224" s="79" t="n"/>
      <c r="Z224" s="79" t="n"/>
    </row>
    <row r="225">
      <c r="A225" s="77" t="n"/>
      <c r="B225" s="78" t="n">
        <v>25091617310619</v>
      </c>
      <c r="C225" s="58" t="n"/>
      <c r="D225" s="65" t="n"/>
      <c r="E225" s="62" t="n">
        <v>690978</v>
      </c>
      <c r="F225" s="63" t="inlineStr">
        <is>
          <t xml:space="preserve">Mr./Ms. </t>
        </is>
      </c>
      <c r="G225" s="60" t="n">
        <v>1757896916</v>
      </c>
      <c r="H225" s="61" t="inlineStr">
        <is>
          <t>Chattogram</t>
        </is>
      </c>
      <c r="I225" s="63" t="inlineStr">
        <is>
          <t>Fashion</t>
        </is>
      </c>
      <c r="J225" s="63" t="inlineStr">
        <is>
          <t>Fashion</t>
        </is>
      </c>
      <c r="K225" s="62" t="n">
        <v>493</v>
      </c>
      <c r="L225" s="63" t="inlineStr">
        <is>
          <t>T-Shirt And Trouser Set for Men - Soft fabric and comfortable</t>
        </is>
      </c>
      <c r="M225" s="79" t="inlineStr">
        <is>
          <t xml:space="preserve">Connected </t>
        </is>
      </c>
      <c r="N225" s="79" t="inlineStr">
        <is>
          <t>Yes</t>
        </is>
      </c>
      <c r="O225" s="79" t="inlineStr">
        <is>
          <t>I refused</t>
        </is>
      </c>
      <c r="P225" s="81" t="inlineStr">
        <is>
          <t>The customer cancelled because there was a problem with their money</t>
        </is>
      </c>
      <c r="Q225" s="79" t="n"/>
      <c r="R225" s="79" t="inlineStr">
        <is>
          <t>Yes (in time)</t>
        </is>
      </c>
      <c r="S225" s="79" t="inlineStr">
        <is>
          <t>No</t>
        </is>
      </c>
      <c r="T225" s="79" t="inlineStr">
        <is>
          <t>Not required</t>
        </is>
      </c>
      <c r="U225" s="79" t="n"/>
      <c r="V225" s="79" t="n"/>
      <c r="W225" s="79" t="n">
        <v>9</v>
      </c>
      <c r="X225" s="79" t="inlineStr">
        <is>
          <t>Customer happy with cartup service</t>
        </is>
      </c>
      <c r="Y225" s="79" t="inlineStr">
        <is>
          <t>Positive</t>
        </is>
      </c>
      <c r="Z225" s="79" t="n"/>
    </row>
    <row r="226">
      <c r="A226" s="77" t="n"/>
      <c r="B226" s="78" t="n">
        <v>25091619706363</v>
      </c>
      <c r="C226" s="63" t="inlineStr">
        <is>
          <t>Arefin</t>
        </is>
      </c>
      <c r="D226" s="65" t="n"/>
      <c r="E226" s="62" t="n">
        <v>691931</v>
      </c>
      <c r="F226" s="63" t="inlineStr">
        <is>
          <t xml:space="preserve">Fahmida Khanam </t>
        </is>
      </c>
      <c r="G226" s="60" t="n">
        <v>1301985412</v>
      </c>
      <c r="H226" s="66" t="inlineStr">
        <is>
          <t>Chattogram</t>
        </is>
      </c>
      <c r="I226" s="63" t="inlineStr">
        <is>
          <t>FMCG</t>
        </is>
      </c>
      <c r="J226" s="63" t="inlineStr">
        <is>
          <t>Groceries</t>
        </is>
      </c>
      <c r="K226" s="62" t="n">
        <v>375</v>
      </c>
      <c r="L226" s="63" t="inlineStr">
        <is>
          <t>Rongdhonu Amloki Powder, Amla Powder, Amloki, Amla (100gram)</t>
        </is>
      </c>
      <c r="M226" s="79" t="inlineStr">
        <is>
          <t xml:space="preserve">Connected </t>
        </is>
      </c>
      <c r="N226" s="79" t="inlineStr">
        <is>
          <t>Yes</t>
        </is>
      </c>
      <c r="O226" s="79" t="inlineStr">
        <is>
          <t>No one was home</t>
        </is>
      </c>
      <c r="P226" s="79" t="n"/>
      <c r="Q226" s="79" t="n"/>
      <c r="R226" s="79" t="inlineStr">
        <is>
          <t>Yes (in time)</t>
        </is>
      </c>
      <c r="S226" s="79" t="inlineStr">
        <is>
          <t>No</t>
        </is>
      </c>
      <c r="T226" s="79" t="inlineStr">
        <is>
          <t>Didn’t try</t>
        </is>
      </c>
      <c r="U226" s="79" t="n"/>
      <c r="V226" s="79" t="n"/>
      <c r="W226" s="79" t="n">
        <v>7</v>
      </c>
      <c r="X226" s="79" t="inlineStr">
        <is>
          <t>Service is good.</t>
        </is>
      </c>
      <c r="Y226" s="79" t="inlineStr">
        <is>
          <t>Neutral</t>
        </is>
      </c>
      <c r="Z226" s="79" t="n"/>
    </row>
    <row r="227">
      <c r="A227" s="77" t="n"/>
      <c r="B227" s="78" t="n">
        <v>25091624443627</v>
      </c>
      <c r="C227" s="63" t="inlineStr">
        <is>
          <t>Arefin</t>
        </is>
      </c>
      <c r="D227" s="65" t="n"/>
      <c r="E227" s="62" t="n">
        <v>256752</v>
      </c>
      <c r="F227" s="63" t="inlineStr">
        <is>
          <t xml:space="preserve">Mr./Ms. </t>
        </is>
      </c>
      <c r="G227" s="60" t="n">
        <v>1826724218</v>
      </c>
      <c r="H227" s="66" t="inlineStr">
        <is>
          <t>Chattogram</t>
        </is>
      </c>
      <c r="I227" s="63" t="inlineStr">
        <is>
          <t>Lifestyle</t>
        </is>
      </c>
      <c r="J227" s="63" t="inlineStr">
        <is>
          <t>Furniture  Decor</t>
        </is>
      </c>
      <c r="K227" s="62" t="n">
        <v>344</v>
      </c>
      <c r="L227" s="63" t="inlineStr">
        <is>
          <t>Doormat-Papos-3 pieces</t>
        </is>
      </c>
      <c r="M227" s="79" t="inlineStr">
        <is>
          <t>Not Connected</t>
        </is>
      </c>
      <c r="N227" s="79" t="n"/>
      <c r="O227" s="79" t="n"/>
      <c r="P227" s="79" t="n"/>
      <c r="Q227" s="79" t="n"/>
      <c r="R227" s="79" t="n"/>
      <c r="S227" s="79" t="n"/>
      <c r="T227" s="79" t="n"/>
      <c r="U227" s="79" t="n"/>
      <c r="V227" s="79" t="n"/>
      <c r="W227" s="79" t="n"/>
      <c r="X227" s="79" t="n"/>
      <c r="Y227" s="79" t="n"/>
      <c r="Z227" s="79" t="n"/>
    </row>
    <row r="228">
      <c r="A228" s="77" t="n"/>
      <c r="B228" s="78" t="n">
        <v>25091664457329</v>
      </c>
      <c r="C228" s="58" t="n"/>
      <c r="D228" s="65" t="n"/>
      <c r="E228" s="62" t="n">
        <v>226292</v>
      </c>
      <c r="F228" s="63" t="inlineStr">
        <is>
          <t xml:space="preserve">md Asraful </t>
        </is>
      </c>
      <c r="G228" s="60" t="n">
        <v>1786363255</v>
      </c>
      <c r="H228" s="61" t="inlineStr">
        <is>
          <t>Chattogram</t>
        </is>
      </c>
      <c r="I228" s="63" t="inlineStr">
        <is>
          <t>Fashion</t>
        </is>
      </c>
      <c r="J228" s="63" t="inlineStr">
        <is>
          <t>Fashion</t>
        </is>
      </c>
      <c r="K228" s="62" t="n">
        <v>480</v>
      </c>
      <c r="L228" s="63" t="inlineStr">
        <is>
          <t>New Fashion Exprot Bonded Jacket For Men</t>
        </is>
      </c>
      <c r="M228" s="79" t="inlineStr">
        <is>
          <t xml:space="preserve">Connected </t>
        </is>
      </c>
      <c r="N228" s="79" t="inlineStr">
        <is>
          <t>No</t>
        </is>
      </c>
      <c r="O228" s="79" t="n"/>
      <c r="P228" s="79" t="n"/>
      <c r="Q228" s="79" t="n"/>
      <c r="R228" s="79" t="n"/>
      <c r="S228" s="79" t="n"/>
      <c r="T228" s="79" t="n"/>
      <c r="U228" s="79" t="n"/>
      <c r="V228" s="79" t="n"/>
      <c r="W228" s="79" t="n"/>
      <c r="X228" s="79" t="n"/>
      <c r="Y228" s="79" t="n"/>
      <c r="Z228" s="79" t="n"/>
    </row>
    <row r="229">
      <c r="A229" s="77" t="n"/>
      <c r="B229" s="78" t="n">
        <v>25091736878288</v>
      </c>
      <c r="C229" s="58" t="n"/>
      <c r="D229" s="65" t="n"/>
      <c r="E229" s="62" t="n">
        <v>206512</v>
      </c>
      <c r="F229" s="63" t="inlineStr">
        <is>
          <t xml:space="preserve">Parfect tube </t>
        </is>
      </c>
      <c r="G229" s="60" t="n">
        <v>1723729061</v>
      </c>
      <c r="H229" s="61" t="inlineStr">
        <is>
          <t>Chapainawabganj</t>
        </is>
      </c>
      <c r="I229" s="63" t="inlineStr">
        <is>
          <t>FMCG</t>
        </is>
      </c>
      <c r="J229" s="63" t="inlineStr">
        <is>
          <t>Health  Beauty</t>
        </is>
      </c>
      <c r="K229" s="62" t="n">
        <v>5500</v>
      </c>
      <c r="L229" s="63" t="inlineStr">
        <is>
          <t>Moov Pain Relief Cream -15gm 1pcs</t>
        </is>
      </c>
      <c r="M229" s="79" t="inlineStr">
        <is>
          <t xml:space="preserve">Connected </t>
        </is>
      </c>
      <c r="N229" s="79" t="inlineStr">
        <is>
          <t>Yes</t>
        </is>
      </c>
      <c r="O229" s="79" t="inlineStr">
        <is>
          <t>Wrong Item</t>
        </is>
      </c>
      <c r="P229" s="79" t="n"/>
      <c r="Q229" s="79" t="n"/>
      <c r="R229" s="79" t="inlineStr">
        <is>
          <t>Yes (in time)</t>
        </is>
      </c>
      <c r="S229" s="79" t="inlineStr">
        <is>
          <t>No</t>
        </is>
      </c>
      <c r="T229" s="79" t="inlineStr">
        <is>
          <t>Didn’t try</t>
        </is>
      </c>
      <c r="U229" s="79" t="n"/>
      <c r="V229" s="79" t="n"/>
      <c r="W229" s="79" t="n">
        <v>10</v>
      </c>
      <c r="X229" s="79" t="n"/>
      <c r="Y229" s="79" t="inlineStr">
        <is>
          <t>Positive</t>
        </is>
      </c>
      <c r="Z229" s="79" t="n"/>
    </row>
    <row r="230">
      <c r="A230" s="77" t="n"/>
      <c r="B230" s="78" t="n">
        <v>25092133556206</v>
      </c>
      <c r="C230" s="58" t="n"/>
      <c r="D230" s="65" t="n"/>
      <c r="E230" s="62" t="n">
        <v>698615</v>
      </c>
      <c r="F230" s="63" t="inlineStr">
        <is>
          <t xml:space="preserve">Mr./Ms. </t>
        </is>
      </c>
      <c r="G230" s="60" t="n">
        <v>1620872812</v>
      </c>
      <c r="H230" s="66" t="inlineStr">
        <is>
          <t>Chapainawabganj</t>
        </is>
      </c>
      <c r="I230" s="63" t="inlineStr">
        <is>
          <t>FMCG</t>
        </is>
      </c>
      <c r="J230" s="63" t="inlineStr">
        <is>
          <t>Groceries</t>
        </is>
      </c>
      <c r="K230" s="62" t="n">
        <v>499</v>
      </c>
      <c r="L230" s="63" t="inlineStr">
        <is>
          <t>CE100 Vape International PRC product high performing Vape E cigarette  with juice free- 1 piece</t>
        </is>
      </c>
      <c r="M230" s="79" t="inlineStr">
        <is>
          <t>Not Connected</t>
        </is>
      </c>
      <c r="N230" s="79" t="n"/>
      <c r="O230" s="79" t="n"/>
      <c r="P230" s="79" t="n"/>
      <c r="Q230" s="79" t="n"/>
      <c r="R230" s="79" t="n"/>
      <c r="S230" s="79" t="n"/>
      <c r="T230" s="79" t="n"/>
      <c r="U230" s="79" t="n"/>
      <c r="V230" s="79" t="n"/>
      <c r="W230" s="79" t="n"/>
      <c r="X230" s="79" t="n"/>
      <c r="Y230" s="79" t="n"/>
      <c r="Z230" s="79" t="n"/>
    </row>
    <row r="231">
      <c r="A231" s="77" t="n"/>
      <c r="B231" s="78" t="n">
        <v>25092168799392</v>
      </c>
      <c r="C231" s="58" t="n"/>
      <c r="D231" s="65" t="n"/>
      <c r="E231" s="62" t="n">
        <v>650419</v>
      </c>
      <c r="F231" s="63" t="inlineStr">
        <is>
          <t xml:space="preserve">md manik </t>
        </is>
      </c>
      <c r="G231" s="60" t="n">
        <v>1790837632</v>
      </c>
      <c r="H231" s="66" t="inlineStr">
        <is>
          <t>Chapainawabganj</t>
        </is>
      </c>
      <c r="I231" s="63" t="inlineStr">
        <is>
          <t>Lifestyle</t>
        </is>
      </c>
      <c r="J231" s="63" t="inlineStr">
        <is>
          <t>Bedding  Bath</t>
        </is>
      </c>
      <c r="K231" s="62" t="n">
        <v>466</v>
      </c>
      <c r="L231" s="63" t="inlineStr">
        <is>
          <t>AC HOME TEX Cotton King Size Bed Sheet 7 feet by 8 feet And Pillow Cover</t>
        </is>
      </c>
      <c r="M231" s="79" t="inlineStr">
        <is>
          <t xml:space="preserve">Connected </t>
        </is>
      </c>
      <c r="N231" s="79" t="inlineStr">
        <is>
          <t>Yes</t>
        </is>
      </c>
      <c r="O231" s="79" t="inlineStr">
        <is>
          <t>Low Quality</t>
        </is>
      </c>
      <c r="P231" s="79" t="n"/>
      <c r="Q231" s="79" t="n"/>
      <c r="R231" s="79" t="inlineStr">
        <is>
          <t>Yes (in time)</t>
        </is>
      </c>
      <c r="S231" s="79" t="inlineStr">
        <is>
          <t>No</t>
        </is>
      </c>
      <c r="T231" s="79" t="inlineStr">
        <is>
          <t>Didn’t try</t>
        </is>
      </c>
      <c r="U231" s="79" t="n"/>
      <c r="V231" s="79" t="n"/>
      <c r="W231" s="79" t="n">
        <v>10</v>
      </c>
      <c r="X231" s="79" t="n"/>
      <c r="Y231" s="79" t="inlineStr">
        <is>
          <t>Positive</t>
        </is>
      </c>
      <c r="Z231" s="79" t="n"/>
    </row>
    <row r="232">
      <c r="A232" s="77" t="n"/>
      <c r="B232" s="78" t="n">
        <v>25092217448002</v>
      </c>
      <c r="C232" s="58" t="n"/>
      <c r="D232" s="65" t="n"/>
      <c r="E232" s="62" t="n">
        <v>384160</v>
      </c>
      <c r="F232" s="63" t="inlineStr">
        <is>
          <t>TONU KHAN</t>
        </is>
      </c>
      <c r="G232" s="60" t="n">
        <v>1765606531</v>
      </c>
      <c r="H232" s="61" t="inlineStr">
        <is>
          <t>Chapainawabganj</t>
        </is>
      </c>
      <c r="I232" s="63" t="inlineStr">
        <is>
          <t>FMCG</t>
        </is>
      </c>
      <c r="J232" s="63" t="inlineStr">
        <is>
          <t>Health  Beauty</t>
        </is>
      </c>
      <c r="K232" s="62" t="n">
        <v>8980</v>
      </c>
      <c r="L232" s="63" t="inlineStr">
        <is>
          <t>Xiaomi Mi Grooming Kit Pro Trimmer 40 length Settings 0.5mm Precision 4 Hair Clipper 1 Nose and Ear 1 Body 1 Precision Blade All In One Professional Styling Trimming with Digital Display and Long Battery Life for Men and Women</t>
        </is>
      </c>
      <c r="M232" s="79" t="inlineStr">
        <is>
          <t>Not Connected</t>
        </is>
      </c>
      <c r="N232" s="79" t="n"/>
      <c r="O232" s="79" t="n"/>
      <c r="P232" s="79" t="n"/>
      <c r="Q232" s="79" t="n"/>
      <c r="R232" s="79" t="n"/>
      <c r="S232" s="79" t="n"/>
      <c r="T232" s="79" t="n"/>
      <c r="U232" s="79" t="n"/>
      <c r="V232" s="79" t="n"/>
      <c r="W232" s="79" t="n"/>
      <c r="X232" s="79" t="n"/>
      <c r="Y232" s="79" t="n"/>
      <c r="Z232" s="79" t="n"/>
    </row>
    <row r="233">
      <c r="A233" s="77" t="n"/>
      <c r="B233" s="78" t="n">
        <v>25091628105965</v>
      </c>
      <c r="C233" s="63" t="inlineStr">
        <is>
          <t>Arefin</t>
        </is>
      </c>
      <c r="D233" s="65" t="n"/>
      <c r="E233" s="62" t="n">
        <v>680781</v>
      </c>
      <c r="F233" s="63" t="inlineStr">
        <is>
          <t>Md Toha</t>
        </is>
      </c>
      <c r="G233" s="60" t="n">
        <v>1845496430</v>
      </c>
      <c r="H233" s="66" t="inlineStr">
        <is>
          <t>Chandpur</t>
        </is>
      </c>
      <c r="I233" s="63" t="inlineStr">
        <is>
          <t>Lifestyle</t>
        </is>
      </c>
      <c r="J233" s="63" t="inlineStr">
        <is>
          <t>Tools, DIY  Outdoor</t>
        </is>
      </c>
      <c r="K233" s="62" t="n">
        <v>492</v>
      </c>
      <c r="L233" s="63" t="inlineStr">
        <is>
          <t>3.7V 10000mAh  or 5000 mAh Lithium Polymer Rechargeable Battery Cell - High Quality battery for Electronics Project rpelectronics</t>
        </is>
      </c>
      <c r="M233" s="79" t="inlineStr">
        <is>
          <t xml:space="preserve">Connected </t>
        </is>
      </c>
      <c r="N233" s="79" t="inlineStr">
        <is>
          <t>Yes</t>
        </is>
      </c>
      <c r="O233" s="79" t="inlineStr">
        <is>
          <t>I refused</t>
        </is>
      </c>
      <c r="P233" s="79" t="n"/>
      <c r="Q233" s="79" t="n"/>
      <c r="R233" s="79" t="inlineStr">
        <is>
          <t>Yes (in time)</t>
        </is>
      </c>
      <c r="S233" s="79" t="inlineStr">
        <is>
          <t>No</t>
        </is>
      </c>
      <c r="T233" s="79" t="inlineStr">
        <is>
          <t>Didn’t try</t>
        </is>
      </c>
      <c r="U233" s="79" t="n"/>
      <c r="V233" s="79" t="n"/>
      <c r="W233" s="79" t="n">
        <v>1</v>
      </c>
      <c r="X233" s="79" t="inlineStr">
        <is>
          <t>As my first ever order from cartup delivered after the delivery timeline has passed so I'm not satisfied with your service.</t>
        </is>
      </c>
      <c r="Y233" s="79" t="inlineStr">
        <is>
          <t>Negative</t>
        </is>
      </c>
      <c r="Z233" s="79" t="n"/>
    </row>
    <row r="234">
      <c r="A234" s="77" t="n"/>
      <c r="B234" s="78" t="n">
        <v>25091697055785</v>
      </c>
      <c r="C234" s="58" t="n"/>
      <c r="D234" s="65" t="n"/>
      <c r="E234" s="62" t="n">
        <v>692525</v>
      </c>
      <c r="F234" s="63" t="inlineStr">
        <is>
          <t xml:space="preserve">Mehedi Hasan Munna </t>
        </is>
      </c>
      <c r="G234" s="60" t="n">
        <v>1627728309</v>
      </c>
      <c r="H234" s="66" t="inlineStr">
        <is>
          <t>Chandpur</t>
        </is>
      </c>
      <c r="I234" s="63" t="inlineStr">
        <is>
          <t>Lifestyle</t>
        </is>
      </c>
      <c r="J234" s="63" t="inlineStr">
        <is>
          <t>Furniture  Decor</t>
        </is>
      </c>
      <c r="K234" s="62" t="n">
        <v>175</v>
      </c>
      <c r="L234" s="63" t="inlineStr">
        <is>
          <t>High quality Wifi Router Stand Shelf Double Layer Wall Mounted Shelf Storage Rack Home decorator</t>
        </is>
      </c>
      <c r="M234" s="79" t="inlineStr">
        <is>
          <t>Not Connected</t>
        </is>
      </c>
      <c r="N234" s="79" t="n"/>
      <c r="O234" s="79" t="n"/>
      <c r="P234" s="79" t="n"/>
      <c r="Q234" s="79" t="n"/>
      <c r="R234" s="79" t="n"/>
      <c r="S234" s="79" t="n"/>
      <c r="T234" s="79" t="n"/>
      <c r="U234" s="79" t="n"/>
      <c r="V234" s="79" t="n"/>
      <c r="W234" s="79" t="n"/>
      <c r="X234" s="79" t="n"/>
      <c r="Y234" s="79" t="n"/>
      <c r="Z234" s="79" t="n"/>
    </row>
    <row r="235">
      <c r="A235" s="77" t="n"/>
      <c r="B235" s="78" t="n">
        <v>25091698943605</v>
      </c>
      <c r="C235" s="58" t="n"/>
      <c r="D235" s="65" t="n"/>
      <c r="E235" s="62" t="n">
        <v>690086</v>
      </c>
      <c r="F235" s="63" t="inlineStr">
        <is>
          <t xml:space="preserve">MH Mohsin Hossain </t>
        </is>
      </c>
      <c r="G235" s="60" t="n">
        <v>1883851755</v>
      </c>
      <c r="H235" s="66" t="inlineStr">
        <is>
          <t>Chandpur</t>
        </is>
      </c>
      <c r="I235" s="63" t="inlineStr">
        <is>
          <t>Lifestyle</t>
        </is>
      </c>
      <c r="J235" s="63" t="inlineStr">
        <is>
          <t>Motors</t>
        </is>
      </c>
      <c r="K235" s="62" t="n">
        <v>112</v>
      </c>
      <c r="L235" s="63" t="inlineStr">
        <is>
          <t>Telephone Number Anti-Lost Phone Number Key Ring for Car and Motorbike Key Ring for Bikers - Car - Bike - Home - Office Key Ring - Nice key Ring - key Ring</t>
        </is>
      </c>
      <c r="M235" s="79" t="inlineStr">
        <is>
          <t xml:space="preserve">Connected </t>
        </is>
      </c>
      <c r="N235" s="79" t="inlineStr">
        <is>
          <t>Yes</t>
        </is>
      </c>
      <c r="O235" s="79" t="inlineStr">
        <is>
          <t>Other</t>
        </is>
      </c>
      <c r="P235" s="79" t="n"/>
      <c r="Q235" s="79" t="n"/>
      <c r="R235" s="79" t="inlineStr">
        <is>
          <t>Yes (in time)</t>
        </is>
      </c>
      <c r="S235" s="79" t="inlineStr">
        <is>
          <t>No</t>
        </is>
      </c>
      <c r="T235" s="79" t="inlineStr">
        <is>
          <t>Didn’t try</t>
        </is>
      </c>
      <c r="U235" s="79" t="n"/>
      <c r="V235" s="79" t="n"/>
      <c r="W235" s="79" t="n">
        <v>9</v>
      </c>
      <c r="X235" s="79" t="n"/>
      <c r="Y235" s="79" t="inlineStr">
        <is>
          <t>Positive</t>
        </is>
      </c>
      <c r="Z235" s="79" t="n"/>
    </row>
    <row r="236">
      <c r="A236" s="77" t="n"/>
      <c r="B236" s="78" t="n">
        <v>25091755421341</v>
      </c>
      <c r="C236" s="58" t="n"/>
      <c r="D236" s="65" t="n"/>
      <c r="E236" s="62" t="n">
        <v>696503</v>
      </c>
      <c r="F236" s="63" t="inlineStr">
        <is>
          <t xml:space="preserve">Ovi Al Amin </t>
        </is>
      </c>
      <c r="G236" s="60" t="n">
        <v>1636714924</v>
      </c>
      <c r="H236" s="61" t="inlineStr">
        <is>
          <t>Chandpur</t>
        </is>
      </c>
      <c r="I236" s="63" t="inlineStr">
        <is>
          <t>Lifestyle</t>
        </is>
      </c>
      <c r="J236" s="63" t="inlineStr">
        <is>
          <t>Motors</t>
        </is>
      </c>
      <c r="K236" s="62" t="n">
        <v>528</v>
      </c>
      <c r="L236" s="63" t="inlineStr">
        <is>
          <t>C6 LED H4 Headlight Bulb 2pcs For Car &amp; Motorcycle</t>
        </is>
      </c>
      <c r="M236" s="79" t="inlineStr">
        <is>
          <t>Not Connected</t>
        </is>
      </c>
      <c r="N236" s="79" t="n"/>
      <c r="O236" s="79" t="n"/>
      <c r="P236" s="79" t="n"/>
      <c r="Q236" s="79" t="n"/>
      <c r="R236" s="79" t="n"/>
      <c r="S236" s="79" t="n"/>
      <c r="T236" s="79" t="n"/>
      <c r="U236" s="79" t="n"/>
      <c r="V236" s="79" t="n"/>
      <c r="W236" s="79" t="n"/>
      <c r="X236" s="79" t="n"/>
      <c r="Y236" s="79" t="n"/>
      <c r="Z236" s="79" t="n"/>
    </row>
    <row r="237">
      <c r="A237" s="77" t="n"/>
      <c r="B237" s="78" t="n">
        <v>25091649397115</v>
      </c>
      <c r="C237" s="63" t="inlineStr">
        <is>
          <t>Arefin</t>
        </is>
      </c>
      <c r="D237" s="65" t="n"/>
      <c r="E237" s="62" t="n">
        <v>683654</v>
      </c>
      <c r="F237" s="63" t="inlineStr">
        <is>
          <t xml:space="preserve">Md Naki </t>
        </is>
      </c>
      <c r="G237" s="60" t="n">
        <v>1750032181</v>
      </c>
      <c r="H237" s="61" t="inlineStr">
        <is>
          <t>Brahman Baria</t>
        </is>
      </c>
      <c r="I237" s="63" t="inlineStr">
        <is>
          <t>Lifestyle</t>
        </is>
      </c>
      <c r="J237" s="63" t="inlineStr">
        <is>
          <t>Tools, DIY  Outdoor</t>
        </is>
      </c>
      <c r="K237" s="62" t="n">
        <v>514</v>
      </c>
      <c r="L237" s="63" t="inlineStr">
        <is>
          <t>1 Peace Rechargeable Mosquito Killer Bat Or Racket</t>
        </is>
      </c>
      <c r="M237" s="79" t="inlineStr">
        <is>
          <t xml:space="preserve">Connected </t>
        </is>
      </c>
      <c r="N237" s="79" t="inlineStr">
        <is>
          <t>Yes</t>
        </is>
      </c>
      <c r="O237" s="79" t="inlineStr">
        <is>
          <t>I refused</t>
        </is>
      </c>
      <c r="P237" s="79" t="n"/>
      <c r="Q237" s="79" t="n"/>
      <c r="R237" s="79" t="inlineStr">
        <is>
          <t>Yes (last moment)</t>
        </is>
      </c>
      <c r="S237" s="79" t="inlineStr">
        <is>
          <t>Yes (resolved)</t>
        </is>
      </c>
      <c r="T237" s="79" t="inlineStr">
        <is>
          <t>Not required</t>
        </is>
      </c>
      <c r="U237" s="79" t="n"/>
      <c r="V237" s="79" t="n"/>
      <c r="W237" s="79" t="n">
        <v>8</v>
      </c>
      <c r="X237" s="79" t="n"/>
      <c r="Y237" s="79" t="inlineStr">
        <is>
          <t>Positive</t>
        </is>
      </c>
      <c r="Z237" s="79" t="n"/>
    </row>
    <row r="238">
      <c r="A238" s="77" t="n"/>
      <c r="B238" s="78" t="n">
        <v>25091659418371</v>
      </c>
      <c r="C238" s="58" t="n"/>
      <c r="D238" s="65" t="n"/>
      <c r="E238" s="62" t="n">
        <v>684186</v>
      </c>
      <c r="F238" s="63" t="inlineStr">
        <is>
          <t xml:space="preserve">Mr./Ms. </t>
        </is>
      </c>
      <c r="G238" s="60" t="n">
        <v>1313291012</v>
      </c>
      <c r="H238" s="61" t="inlineStr">
        <is>
          <t>Brahman Baria</t>
        </is>
      </c>
      <c r="I238" s="63" t="inlineStr">
        <is>
          <t>Fashion</t>
        </is>
      </c>
      <c r="J238" s="63" t="inlineStr">
        <is>
          <t>Bags and Travel</t>
        </is>
      </c>
      <c r="K238" s="62" t="n">
        <v>656</v>
      </c>
      <c r="L238" s="63" t="inlineStr">
        <is>
          <t>Laptop &amp; Travel Backpack</t>
        </is>
      </c>
      <c r="M238" s="79" t="inlineStr">
        <is>
          <t>Not Connected</t>
        </is>
      </c>
      <c r="N238" s="79" t="n"/>
      <c r="O238" s="79" t="n"/>
      <c r="P238" s="79" t="n"/>
      <c r="Q238" s="79" t="n"/>
      <c r="R238" s="79" t="n"/>
      <c r="S238" s="79" t="n"/>
      <c r="T238" s="79" t="n"/>
      <c r="U238" s="79" t="n"/>
      <c r="V238" s="79" t="n"/>
      <c r="W238" s="79" t="n"/>
      <c r="X238" s="79" t="n"/>
      <c r="Y238" s="79" t="n"/>
      <c r="Z238" s="79" t="n"/>
    </row>
    <row r="239">
      <c r="A239" s="77" t="n"/>
      <c r="B239" s="78" t="n">
        <v>25091683195724</v>
      </c>
      <c r="C239" s="58" t="n"/>
      <c r="D239" s="65" t="n"/>
      <c r="E239" s="62" t="n">
        <v>685098</v>
      </c>
      <c r="F239" s="63" t="inlineStr">
        <is>
          <t xml:space="preserve">Nabin Khan </t>
        </is>
      </c>
      <c r="G239" s="60" t="n">
        <v>1576767576</v>
      </c>
      <c r="H239" s="66" t="inlineStr">
        <is>
          <t>Brahman Baria</t>
        </is>
      </c>
      <c r="I239" s="63" t="inlineStr">
        <is>
          <t>Electronics</t>
        </is>
      </c>
      <c r="J239" s="63" t="inlineStr">
        <is>
          <t>Computers  Laptops</t>
        </is>
      </c>
      <c r="K239" s="62" t="n">
        <v>59</v>
      </c>
      <c r="L239" s="63" t="inlineStr">
        <is>
          <t>Rj45 Lan Joiner White (5Pcs) - Efficient Ethernet Lan Cable Joiner For Seamless Connectivity</t>
        </is>
      </c>
      <c r="M239" s="79" t="inlineStr">
        <is>
          <t>Not Connected</t>
        </is>
      </c>
      <c r="N239" s="79" t="n"/>
      <c r="O239" s="79" t="n"/>
      <c r="P239" s="79" t="n"/>
      <c r="Q239" s="79" t="n"/>
      <c r="R239" s="79" t="n"/>
      <c r="S239" s="79" t="n"/>
      <c r="T239" s="79" t="n"/>
      <c r="U239" s="79" t="n"/>
      <c r="V239" s="79" t="n"/>
      <c r="W239" s="79" t="n"/>
      <c r="X239" s="79" t="n"/>
      <c r="Y239" s="79" t="n"/>
      <c r="Z239" s="79" t="n"/>
    </row>
    <row r="240">
      <c r="A240" s="77" t="n"/>
      <c r="B240" s="78" t="n">
        <v>25091765819954</v>
      </c>
      <c r="C240" s="58" t="n"/>
      <c r="D240" s="65" t="n"/>
      <c r="E240" s="62" t="n">
        <v>694128</v>
      </c>
      <c r="F240" s="63" t="inlineStr">
        <is>
          <t xml:space="preserve">Md Sujon </t>
        </is>
      </c>
      <c r="G240" s="60" t="n">
        <v>1639578112</v>
      </c>
      <c r="H240" s="66" t="inlineStr">
        <is>
          <t>Brahman Baria</t>
        </is>
      </c>
      <c r="I240" s="63" t="inlineStr">
        <is>
          <t>Electronics</t>
        </is>
      </c>
      <c r="J240" s="63" t="inlineStr">
        <is>
          <t>Home Appliances</t>
        </is>
      </c>
      <c r="K240" s="62" t="n">
        <v>727</v>
      </c>
      <c r="L240" s="63" t="inlineStr">
        <is>
          <t>Electric Panci Non-stick Mini Rice Cooker</t>
        </is>
      </c>
      <c r="M240" s="79" t="inlineStr">
        <is>
          <t>Not Connected</t>
        </is>
      </c>
      <c r="N240" s="79" t="n"/>
      <c r="O240" s="79" t="n"/>
      <c r="P240" s="79" t="n"/>
      <c r="Q240" s="79" t="n"/>
      <c r="R240" s="79" t="n"/>
      <c r="S240" s="79" t="n"/>
      <c r="T240" s="79" t="n"/>
      <c r="U240" s="79" t="n"/>
      <c r="V240" s="79" t="n"/>
      <c r="W240" s="79" t="n"/>
      <c r="X240" s="79" t="n"/>
      <c r="Y240" s="79" t="n"/>
      <c r="Z240" s="79" t="n"/>
    </row>
    <row r="241">
      <c r="A241" s="77" t="n"/>
      <c r="B241" s="78" t="n">
        <v>25091650134699</v>
      </c>
      <c r="C241" s="58" t="n"/>
      <c r="D241" s="65" t="n"/>
      <c r="E241" s="62" t="n">
        <v>689626</v>
      </c>
      <c r="F241" s="63" t="inlineStr">
        <is>
          <t>Ovi Islam</t>
        </is>
      </c>
      <c r="G241" s="60" t="n">
        <v>1319341758</v>
      </c>
      <c r="H241" s="66" t="inlineStr">
        <is>
          <t>Bogra</t>
        </is>
      </c>
      <c r="I241" s="63" t="inlineStr">
        <is>
          <t>Fashion</t>
        </is>
      </c>
      <c r="J241" s="63" t="inlineStr">
        <is>
          <t>Bags and Travel</t>
        </is>
      </c>
      <c r="K241" s="62" t="n">
        <v>490</v>
      </c>
      <c r="L241" s="63" t="inlineStr">
        <is>
          <t>Avro Premium 100% Genuine Cow Leather Trifold Money Bag For Men Men's High Quality 100% Cow Leather Coin Pocket Black Wallet For Men Elegant And Comfortable Stylish Export Quality Wallets Fashion Vintage Wallet Casual Male Wallet Multi-Card Slot</t>
        </is>
      </c>
      <c r="M241" s="79" t="inlineStr">
        <is>
          <t>Not Connected</t>
        </is>
      </c>
      <c r="N241" s="79" t="n"/>
      <c r="O241" s="79" t="n"/>
      <c r="P241" s="79" t="n"/>
      <c r="Q241" s="79" t="n"/>
      <c r="R241" s="79" t="n"/>
      <c r="S241" s="79" t="n"/>
      <c r="T241" s="79" t="n"/>
      <c r="U241" s="79" t="n"/>
      <c r="V241" s="79" t="n"/>
      <c r="W241" s="79" t="n"/>
      <c r="X241" s="79" t="n"/>
      <c r="Y241" s="79" t="n"/>
      <c r="Z241" s="79" t="n"/>
    </row>
    <row r="242">
      <c r="A242" s="77" t="n"/>
      <c r="B242" s="78" t="n">
        <v>25091652783194</v>
      </c>
      <c r="C242" s="58" t="n"/>
      <c r="D242" s="65" t="n"/>
      <c r="E242" s="62" t="n">
        <v>482556</v>
      </c>
      <c r="F242" s="63" t="inlineStr">
        <is>
          <t xml:space="preserve">Misty Bormon </t>
        </is>
      </c>
      <c r="G242" s="60" t="n">
        <v>1795568981</v>
      </c>
      <c r="H242" s="66" t="inlineStr">
        <is>
          <t>Bogra</t>
        </is>
      </c>
      <c r="I242" s="63" t="inlineStr">
        <is>
          <t>Fashion</t>
        </is>
      </c>
      <c r="J242" s="63" t="inlineStr">
        <is>
          <t>Fashion</t>
        </is>
      </c>
      <c r="K242" s="62" t="n">
        <v>670</v>
      </c>
      <c r="L242" s="63" t="inlineStr">
        <is>
          <t>Latest &amp; Exclusive Luxury Stylish Glorious Design Saree With Gorgeous Blouse Piece For Woman</t>
        </is>
      </c>
      <c r="M242" s="79" t="inlineStr">
        <is>
          <t xml:space="preserve">Connected </t>
        </is>
      </c>
      <c r="N242" s="79" t="inlineStr">
        <is>
          <t>Yes</t>
        </is>
      </c>
      <c r="O242" s="79" t="inlineStr">
        <is>
          <t>Other</t>
        </is>
      </c>
      <c r="P242" s="79" t="n"/>
      <c r="Q242" s="79" t="n"/>
      <c r="R242" s="79" t="inlineStr">
        <is>
          <t>Yes (in time)</t>
        </is>
      </c>
      <c r="S242" s="79" t="inlineStr">
        <is>
          <t>Yes (resolved)</t>
        </is>
      </c>
      <c r="T242" s="79" t="inlineStr">
        <is>
          <t>Not required</t>
        </is>
      </c>
      <c r="U242" s="79" t="inlineStr">
        <is>
          <t>Rider misbehaved with customer.</t>
        </is>
      </c>
      <c r="V242" s="79" t="n"/>
      <c r="W242" s="79" t="n">
        <v>3</v>
      </c>
      <c r="X242" s="79" t="n"/>
      <c r="Y242" s="79" t="inlineStr">
        <is>
          <t>Negative</t>
        </is>
      </c>
      <c r="Z242" s="79" t="n"/>
    </row>
    <row r="243">
      <c r="A243" s="77" t="n"/>
      <c r="B243" s="78" t="n">
        <v>25091688808367</v>
      </c>
      <c r="C243" s="58" t="n"/>
      <c r="D243" s="65" t="n"/>
      <c r="E243" s="62" t="n">
        <v>615878</v>
      </c>
      <c r="F243" s="63" t="inlineStr">
        <is>
          <t xml:space="preserve">Rizvi Sheikh </t>
        </is>
      </c>
      <c r="G243" s="60" t="n">
        <v>1999276628</v>
      </c>
      <c r="H243" s="66" t="inlineStr">
        <is>
          <t>Bogra</t>
        </is>
      </c>
      <c r="I243" s="63" t="inlineStr">
        <is>
          <t>FMCG</t>
        </is>
      </c>
      <c r="J243" s="63" t="inlineStr">
        <is>
          <t>Groceries</t>
        </is>
      </c>
      <c r="K243" s="62" t="n">
        <v>1151</v>
      </c>
      <c r="L243" s="63" t="inlineStr">
        <is>
          <t>Vape E cigarette Pod Kit Empty Vape Tank Starter Kit Lite 40 - 1 piece with 30ML Liquid free</t>
        </is>
      </c>
      <c r="M243" s="79" t="inlineStr">
        <is>
          <t>Not Connected</t>
        </is>
      </c>
      <c r="N243" s="79" t="n"/>
      <c r="O243" s="79" t="n"/>
      <c r="P243" s="79" t="n"/>
      <c r="Q243" s="79" t="n"/>
      <c r="R243" s="79" t="n"/>
      <c r="S243" s="79" t="n"/>
      <c r="T243" s="79" t="n"/>
      <c r="U243" s="79" t="n"/>
      <c r="V243" s="79" t="n"/>
      <c r="W243" s="79" t="n"/>
      <c r="X243" s="79" t="n"/>
      <c r="Y243" s="79" t="n"/>
      <c r="Z243" s="79" t="n"/>
    </row>
    <row r="244">
      <c r="A244" s="77" t="n"/>
      <c r="B244" s="78" t="n">
        <v>25091754967854</v>
      </c>
      <c r="C244" s="58" t="n"/>
      <c r="D244" s="65" t="n"/>
      <c r="E244" s="62" t="n">
        <v>594038</v>
      </c>
      <c r="F244" s="63" t="inlineStr">
        <is>
          <t xml:space="preserve">Mr./Ms. </t>
        </is>
      </c>
      <c r="G244" s="60" t="n">
        <v>1704660040</v>
      </c>
      <c r="H244" s="61" t="inlineStr">
        <is>
          <t>Bogra</t>
        </is>
      </c>
      <c r="I244" s="63" t="inlineStr">
        <is>
          <t>Lifestyle</t>
        </is>
      </c>
      <c r="J244" s="63" t="inlineStr">
        <is>
          <t>Motors</t>
        </is>
      </c>
      <c r="K244" s="62" t="n">
        <v>13975</v>
      </c>
      <c r="L244" s="63" t="inlineStr">
        <is>
          <t>Front Break Pad For Honda Hornet ABS Motorcycle</t>
        </is>
      </c>
      <c r="M244" s="79" t="inlineStr">
        <is>
          <t>Not Connected</t>
        </is>
      </c>
      <c r="N244" s="79" t="n"/>
      <c r="O244" s="79" t="n"/>
      <c r="P244" s="79" t="n"/>
      <c r="Q244" s="79" t="n"/>
      <c r="R244" s="79" t="n"/>
      <c r="S244" s="79" t="n"/>
      <c r="T244" s="79" t="n"/>
      <c r="U244" s="79" t="n"/>
      <c r="V244" s="79" t="n"/>
      <c r="W244" s="79" t="n"/>
      <c r="X244" s="79" t="n"/>
      <c r="Y244" s="79" t="n"/>
      <c r="Z244" s="79" t="n"/>
    </row>
    <row r="245">
      <c r="A245" s="77" t="n"/>
      <c r="B245" s="78" t="n">
        <v>25091619594467</v>
      </c>
      <c r="C245" s="63" t="inlineStr">
        <is>
          <t>Arefin</t>
        </is>
      </c>
      <c r="D245" s="65" t="n"/>
      <c r="E245" s="62" t="n">
        <v>683072</v>
      </c>
      <c r="F245" s="63" t="inlineStr">
        <is>
          <t xml:space="preserve">MD JiSAN </t>
        </is>
      </c>
      <c r="G245" s="60" t="n">
        <v>1826856904</v>
      </c>
      <c r="H245" s="61" t="inlineStr">
        <is>
          <t>Bhola</t>
        </is>
      </c>
      <c r="I245" s="63" t="inlineStr">
        <is>
          <t>Fashion</t>
        </is>
      </c>
      <c r="J245" s="63" t="inlineStr">
        <is>
          <t>Watches Sunglasses Jewellery</t>
        </is>
      </c>
      <c r="K245" s="62" t="n">
        <v>79</v>
      </c>
      <c r="L245" s="63" t="inlineStr">
        <is>
          <t>Trendsetter -Upscale Living -New Trendy Look Very Stylish Black Sunglass for Men 2022</t>
        </is>
      </c>
      <c r="M245" s="79" t="inlineStr">
        <is>
          <t xml:space="preserve">Connected </t>
        </is>
      </c>
      <c r="N245" s="79" t="inlineStr">
        <is>
          <t>No</t>
        </is>
      </c>
      <c r="O245" s="79" t="n"/>
      <c r="P245" s="79" t="n"/>
      <c r="Q245" s="79" t="n"/>
      <c r="R245" s="79" t="n"/>
      <c r="S245" s="79" t="n"/>
      <c r="T245" s="79" t="n"/>
      <c r="U245" s="68" t="n"/>
      <c r="V245" s="79" t="n"/>
      <c r="W245" s="79" t="n"/>
      <c r="X245" s="68" t="n"/>
      <c r="Y245" s="79" t="n"/>
      <c r="Z245" s="79" t="n"/>
    </row>
    <row r="246">
      <c r="A246" s="77" t="n"/>
      <c r="B246" s="78" t="n">
        <v>25091654342512</v>
      </c>
      <c r="C246" s="58" t="n"/>
      <c r="D246" s="65" t="n"/>
      <c r="E246" s="62" t="n">
        <v>685389</v>
      </c>
      <c r="F246" s="63" t="inlineStr">
        <is>
          <t xml:space="preserve">Md Account </t>
        </is>
      </c>
      <c r="G246" s="60" t="n">
        <v>1408090536</v>
      </c>
      <c r="H246" s="61" t="inlineStr">
        <is>
          <t>Bhola</t>
        </is>
      </c>
      <c r="I246" s="63" t="inlineStr">
        <is>
          <t>Electronics</t>
        </is>
      </c>
      <c r="J246" s="63" t="inlineStr">
        <is>
          <t>Mobiles  Tablets</t>
        </is>
      </c>
      <c r="K246" s="62" t="n">
        <v>239</v>
      </c>
      <c r="L246" s="63" t="inlineStr">
        <is>
          <t>For Tecno Camon 40 Back Cover Case (Dual PU Leather Stitch | Professional Minimalist | Soft and Flexible)</t>
        </is>
      </c>
      <c r="M246" s="79" t="inlineStr">
        <is>
          <t>Not Connected</t>
        </is>
      </c>
      <c r="N246" s="79" t="n"/>
      <c r="O246" s="79" t="n"/>
      <c r="P246" s="79" t="n"/>
      <c r="Q246" s="79" t="n"/>
      <c r="R246" s="79" t="n"/>
      <c r="S246" s="79" t="n"/>
      <c r="T246" s="79" t="n"/>
      <c r="U246" s="79" t="n"/>
      <c r="V246" s="79" t="n"/>
      <c r="W246" s="79" t="n"/>
      <c r="X246" s="79" t="n"/>
      <c r="Y246" s="79" t="n"/>
      <c r="Z246" s="79" t="n"/>
    </row>
    <row r="247">
      <c r="A247" s="77" t="n"/>
      <c r="B247" s="78" t="n">
        <v>25091765798463</v>
      </c>
      <c r="C247" s="58" t="n"/>
      <c r="D247" s="65" t="n"/>
      <c r="E247" s="62" t="n">
        <v>412720</v>
      </c>
      <c r="F247" s="63" t="inlineStr">
        <is>
          <t xml:space="preserve">Ashim Day </t>
        </is>
      </c>
      <c r="G247" s="60" t="n">
        <v>1780086263</v>
      </c>
      <c r="H247" s="66" t="inlineStr">
        <is>
          <t>Bhola</t>
        </is>
      </c>
      <c r="I247" s="63" t="inlineStr">
        <is>
          <t>Electronics</t>
        </is>
      </c>
      <c r="J247" s="63" t="inlineStr">
        <is>
          <t>Mobiles  Tablets</t>
        </is>
      </c>
      <c r="K247" s="62" t="n">
        <v>212</v>
      </c>
      <c r="L247" s="63" t="inlineStr">
        <is>
          <t>USB TYPE-C Lightning Cable (100cm) for Apple iPad, iPhone, iPod - Cable Protector</t>
        </is>
      </c>
      <c r="M247" s="79" t="inlineStr">
        <is>
          <t xml:space="preserve">Connected </t>
        </is>
      </c>
      <c r="N247" s="79" t="inlineStr">
        <is>
          <t>Yes</t>
        </is>
      </c>
      <c r="O247" s="79" t="inlineStr">
        <is>
          <t>No one was home</t>
        </is>
      </c>
      <c r="P247" s="79" t="n"/>
      <c r="Q247" s="79" t="n"/>
      <c r="R247" s="79" t="inlineStr">
        <is>
          <t>Yes (in time)</t>
        </is>
      </c>
      <c r="S247" s="79" t="inlineStr">
        <is>
          <t>No</t>
        </is>
      </c>
      <c r="T247" s="79" t="inlineStr">
        <is>
          <t>Didn’t try</t>
        </is>
      </c>
      <c r="U247" s="79" t="n"/>
      <c r="V247" s="79" t="n"/>
      <c r="W247" s="79" t="n">
        <v>9</v>
      </c>
      <c r="X247" s="79" t="n"/>
      <c r="Y247" s="79" t="inlineStr">
        <is>
          <t>Positive</t>
        </is>
      </c>
      <c r="Z247" s="79" t="n"/>
    </row>
    <row r="248">
      <c r="A248" s="77" t="n"/>
      <c r="B248" s="78" t="n">
        <v>25091848343216</v>
      </c>
      <c r="C248" s="58" t="n"/>
      <c r="D248" s="65" t="n"/>
      <c r="E248" s="62" t="n">
        <v>346077</v>
      </c>
      <c r="F248" s="63" t="inlineStr">
        <is>
          <t xml:space="preserve">Md Jihad </t>
        </is>
      </c>
      <c r="G248" s="60" t="n">
        <v>1936755031</v>
      </c>
      <c r="H248" s="66" t="inlineStr">
        <is>
          <t>Bhola</t>
        </is>
      </c>
      <c r="I248" s="63" t="inlineStr">
        <is>
          <t>Electronics</t>
        </is>
      </c>
      <c r="J248" s="63" t="inlineStr">
        <is>
          <t>TV, Audio / Video, Gaming  Wearables</t>
        </is>
      </c>
      <c r="K248" s="62" t="n">
        <v>19008</v>
      </c>
      <c r="L248" s="63" t="inlineStr">
        <is>
          <t>OnePlus Bullets Wireless Z2 ANC Neckband (45dB ANC)</t>
        </is>
      </c>
      <c r="M248" s="79" t="inlineStr">
        <is>
          <t xml:space="preserve">Connected </t>
        </is>
      </c>
      <c r="N248" s="79" t="inlineStr">
        <is>
          <t>Yes</t>
        </is>
      </c>
      <c r="O248" s="79" t="inlineStr">
        <is>
          <t>No one was home</t>
        </is>
      </c>
      <c r="P248" s="79" t="n"/>
      <c r="Q248" s="79" t="n"/>
      <c r="R248" s="79" t="inlineStr">
        <is>
          <t>Yes (in time)</t>
        </is>
      </c>
      <c r="S248" s="79" t="inlineStr">
        <is>
          <t>No</t>
        </is>
      </c>
      <c r="T248" s="79" t="inlineStr">
        <is>
          <t>Didn’t try</t>
        </is>
      </c>
      <c r="U248" s="79" t="n"/>
      <c r="V248" s="79" t="n"/>
      <c r="W248" s="79" t="n">
        <v>10</v>
      </c>
      <c r="X248" s="79" t="n"/>
      <c r="Y248" s="79" t="inlineStr">
        <is>
          <t>Positive</t>
        </is>
      </c>
      <c r="Z248" s="79" t="n"/>
    </row>
    <row r="249">
      <c r="A249" s="77" t="n"/>
      <c r="B249" s="78" t="n">
        <v>25091648857346</v>
      </c>
      <c r="C249" s="63" t="inlineStr">
        <is>
          <t>Arefin</t>
        </is>
      </c>
      <c r="D249" s="65" t="n"/>
      <c r="E249" s="62" t="n">
        <v>663898</v>
      </c>
      <c r="F249" s="63" t="inlineStr">
        <is>
          <t xml:space="preserve">Parves Sikdar </t>
        </is>
      </c>
      <c r="G249" s="60" t="n">
        <v>1768124275</v>
      </c>
      <c r="H249" s="61" t="inlineStr">
        <is>
          <t>Barisal</t>
        </is>
      </c>
      <c r="I249" s="63" t="inlineStr">
        <is>
          <t>Fashion</t>
        </is>
      </c>
      <c r="J249" s="63" t="inlineStr">
        <is>
          <t>Bags and Travel</t>
        </is>
      </c>
      <c r="K249" s="62" t="n">
        <v>350</v>
      </c>
      <c r="L249" s="63" t="inlineStr">
        <is>
          <t>Bullcaptain Short Men Cow Leather Trifold Photo Holder Wallet</t>
        </is>
      </c>
      <c r="M249" s="79" t="inlineStr">
        <is>
          <t xml:space="preserve">Connected </t>
        </is>
      </c>
      <c r="N249" s="79" t="inlineStr">
        <is>
          <t>No</t>
        </is>
      </c>
      <c r="O249" s="79" t="n"/>
      <c r="P249" s="79" t="n"/>
      <c r="Q249" s="79" t="n"/>
      <c r="R249" s="79" t="n"/>
      <c r="S249" s="79" t="n"/>
      <c r="T249" s="79" t="n"/>
      <c r="U249" s="79" t="n"/>
      <c r="V249" s="79" t="n"/>
      <c r="W249" s="79" t="n"/>
      <c r="X249" s="79" t="n"/>
      <c r="Y249" s="79" t="n"/>
      <c r="Z249" s="79" t="n"/>
    </row>
    <row r="250">
      <c r="A250" s="77" t="n"/>
      <c r="B250" s="78" t="n">
        <v>25091656903079</v>
      </c>
      <c r="C250" s="58" t="n"/>
      <c r="D250" s="65" t="n"/>
      <c r="E250" s="62" t="n">
        <v>428441</v>
      </c>
      <c r="F250" s="63" t="inlineStr">
        <is>
          <t xml:space="preserve">Antor Mia </t>
        </is>
      </c>
      <c r="G250" s="60" t="n">
        <v>1788615638</v>
      </c>
      <c r="H250" s="61" t="inlineStr">
        <is>
          <t>Barisal</t>
        </is>
      </c>
      <c r="I250" s="63" t="inlineStr">
        <is>
          <t>Lifestyle</t>
        </is>
      </c>
      <c r="J250" s="63" t="inlineStr">
        <is>
          <t>Motors</t>
        </is>
      </c>
      <c r="K250" s="62" t="n">
        <v>979</v>
      </c>
      <c r="L250" s="63" t="inlineStr">
        <is>
          <t>Motorcycle Brake &amp; Clutch Lever Set For Apache 4V. Red</t>
        </is>
      </c>
      <c r="M250" s="79" t="inlineStr">
        <is>
          <t>Not Connected</t>
        </is>
      </c>
      <c r="N250" s="79" t="n"/>
      <c r="O250" s="79" t="n"/>
      <c r="P250" s="79" t="n"/>
      <c r="Q250" s="79" t="n"/>
      <c r="R250" s="79" t="n"/>
      <c r="S250" s="79" t="n"/>
      <c r="T250" s="79" t="n"/>
      <c r="U250" s="79" t="n"/>
      <c r="V250" s="79" t="n"/>
      <c r="W250" s="79" t="n"/>
      <c r="X250" s="79" t="n"/>
      <c r="Y250" s="79" t="n"/>
      <c r="Z250" s="79" t="n"/>
    </row>
    <row r="251">
      <c r="A251" s="77" t="n"/>
      <c r="B251" s="78" t="n">
        <v>25091660303923</v>
      </c>
      <c r="C251" s="58" t="n"/>
      <c r="D251" s="65" t="n"/>
      <c r="E251" s="62" t="n">
        <v>483438</v>
      </c>
      <c r="F251" s="63" t="inlineStr">
        <is>
          <t xml:space="preserve">Taherul Islam </t>
        </is>
      </c>
      <c r="G251" s="60" t="n">
        <v>1712808220</v>
      </c>
      <c r="H251" s="66" t="inlineStr">
        <is>
          <t>Barisal</t>
        </is>
      </c>
      <c r="I251" s="63" t="inlineStr">
        <is>
          <t>Lifestyle</t>
        </is>
      </c>
      <c r="J251" s="63" t="inlineStr">
        <is>
          <t>Tools, DIY  Outdoor</t>
        </is>
      </c>
      <c r="K251" s="62" t="n">
        <v>84</v>
      </c>
      <c r="L251" s="63" t="inlineStr">
        <is>
          <t>Dc3V-6V Dc Gear Motor Single Shaft (1 Pc) - dc motor</t>
        </is>
      </c>
      <c r="M251" s="79" t="inlineStr">
        <is>
          <t xml:space="preserve">Connected </t>
        </is>
      </c>
      <c r="N251" s="79" t="inlineStr">
        <is>
          <t>Yes</t>
        </is>
      </c>
      <c r="O251" s="79" t="inlineStr">
        <is>
          <t>No one was home</t>
        </is>
      </c>
      <c r="P251" s="79" t="n"/>
      <c r="Q251" s="79" t="n"/>
      <c r="R251" s="79" t="inlineStr">
        <is>
          <t>Not sure</t>
        </is>
      </c>
      <c r="S251" s="79" t="inlineStr">
        <is>
          <t>No</t>
        </is>
      </c>
      <c r="T251" s="79" t="inlineStr">
        <is>
          <t>Didn’t try</t>
        </is>
      </c>
      <c r="U251" s="79" t="n"/>
      <c r="V251" s="79" t="n"/>
      <c r="W251" s="79" t="n">
        <v>8</v>
      </c>
      <c r="X251" s="79" t="inlineStr">
        <is>
          <t>Service is good.</t>
        </is>
      </c>
      <c r="Y251" s="79" t="inlineStr">
        <is>
          <t>Positive</t>
        </is>
      </c>
      <c r="Z251" s="79" t="n"/>
    </row>
    <row r="252">
      <c r="A252" s="77" t="n"/>
      <c r="B252" s="78" t="n">
        <v>25091684896983</v>
      </c>
      <c r="C252" s="58" t="n"/>
      <c r="D252" s="65" t="n"/>
      <c r="E252" s="62" t="n">
        <v>676324</v>
      </c>
      <c r="F252" s="63" t="inlineStr">
        <is>
          <t xml:space="preserve">Mr./Ms. </t>
        </is>
      </c>
      <c r="G252" s="60" t="n">
        <v>1755108283</v>
      </c>
      <c r="H252" s="66" t="inlineStr">
        <is>
          <t>Barisal</t>
        </is>
      </c>
      <c r="I252" s="63" t="inlineStr">
        <is>
          <t>Fashion</t>
        </is>
      </c>
      <c r="J252" s="63" t="inlineStr">
        <is>
          <t>Fashion</t>
        </is>
      </c>
      <c r="K252" s="62" t="n">
        <v>332</v>
      </c>
      <c r="L252" s="63" t="inlineStr">
        <is>
          <t>Men's T-Shirts Online: Buy T-Shirts For Men In Bangladesh – Tshirt</t>
        </is>
      </c>
      <c r="M252" s="79" t="inlineStr">
        <is>
          <t xml:space="preserve">Connected </t>
        </is>
      </c>
      <c r="N252" s="79" t="inlineStr">
        <is>
          <t>Yes</t>
        </is>
      </c>
      <c r="O252" s="79" t="inlineStr">
        <is>
          <t>Other</t>
        </is>
      </c>
      <c r="P252" s="79" t="inlineStr">
        <is>
          <t>Customer cannot remember about the order</t>
        </is>
      </c>
      <c r="Q252" s="79" t="n"/>
      <c r="R252" s="79" t="n"/>
      <c r="S252" s="79" t="n"/>
      <c r="T252" s="79" t="n"/>
      <c r="U252" s="79" t="n"/>
      <c r="V252" s="79" t="n"/>
      <c r="W252" s="79" t="n"/>
      <c r="X252" s="79" t="n"/>
      <c r="Y252" s="79" t="n"/>
      <c r="Z252" s="79" t="n"/>
    </row>
    <row r="253">
      <c r="A253" s="77" t="n"/>
      <c r="B253" s="78" t="n">
        <v>25091623129106</v>
      </c>
      <c r="C253" s="63" t="inlineStr">
        <is>
          <t>Arefin</t>
        </is>
      </c>
      <c r="D253" s="65" t="n"/>
      <c r="E253" s="62" t="n">
        <v>692848</v>
      </c>
      <c r="F253" s="63" t="inlineStr">
        <is>
          <t xml:space="preserve">Md Rifat islam </t>
        </is>
      </c>
      <c r="G253" s="60" t="n">
        <v>1751622965</v>
      </c>
      <c r="H253" s="66" t="inlineStr">
        <is>
          <t>Barguna</t>
        </is>
      </c>
      <c r="I253" s="63" t="inlineStr">
        <is>
          <t>Electronics</t>
        </is>
      </c>
      <c r="J253" s="63" t="inlineStr">
        <is>
          <t>Mobiles  Tablets</t>
        </is>
      </c>
      <c r="K253" s="62" t="n">
        <v>106</v>
      </c>
      <c r="L253" s="63" t="inlineStr">
        <is>
          <t>Edge-Reinforced Shockproof Hybrid Clear Back Cover for Xiaomi Redmi A3</t>
        </is>
      </c>
      <c r="M253" s="79" t="inlineStr">
        <is>
          <t xml:space="preserve">Connected </t>
        </is>
      </c>
      <c r="N253" s="79" t="inlineStr">
        <is>
          <t>Yes</t>
        </is>
      </c>
      <c r="O253" s="79" t="inlineStr">
        <is>
          <t>No one was home</t>
        </is>
      </c>
      <c r="P253" s="79" t="n"/>
      <c r="Q253" s="79" t="n"/>
      <c r="R253" s="79" t="inlineStr">
        <is>
          <t>Not sure</t>
        </is>
      </c>
      <c r="S253" s="79" t="inlineStr">
        <is>
          <t>No</t>
        </is>
      </c>
      <c r="T253" s="79" t="inlineStr">
        <is>
          <t>Didn’t try</t>
        </is>
      </c>
      <c r="U253" s="79" t="n"/>
      <c r="V253" s="79" t="n"/>
      <c r="W253" s="79" t="n">
        <v>10</v>
      </c>
      <c r="X253" s="79" t="n"/>
      <c r="Y253" s="79" t="inlineStr">
        <is>
          <t>Positive</t>
        </is>
      </c>
      <c r="Z253" s="79" t="n"/>
    </row>
    <row r="254">
      <c r="A254" s="77" t="n"/>
      <c r="B254" s="78" t="n">
        <v>25091812732227</v>
      </c>
      <c r="C254" s="58" t="n"/>
      <c r="D254" s="65" t="n"/>
      <c r="E254" s="62" t="n">
        <v>699120</v>
      </c>
      <c r="F254" s="63" t="inlineStr">
        <is>
          <t xml:space="preserve">Kabir Fakir </t>
        </is>
      </c>
      <c r="G254" s="60" t="n">
        <v>1738654756</v>
      </c>
      <c r="H254" s="61" t="inlineStr">
        <is>
          <t>Barguna</t>
        </is>
      </c>
      <c r="I254" s="63" t="inlineStr">
        <is>
          <t>Fashion</t>
        </is>
      </c>
      <c r="J254" s="63" t="inlineStr">
        <is>
          <t>Bags and Travel</t>
        </is>
      </c>
      <c r="K254" s="62" t="n">
        <v>52</v>
      </c>
      <c r="L254" s="63" t="inlineStr">
        <is>
          <t>3pcs Aluminium Anti RFID Card Holders, NFC Blocking Reader Lock ID Bank Card Holders, Case Protection Metal Credit Card Case</t>
        </is>
      </c>
      <c r="M254" s="79" t="inlineStr">
        <is>
          <t>Not Connected</t>
        </is>
      </c>
      <c r="N254" s="79" t="n"/>
      <c r="O254" s="79" t="n"/>
      <c r="P254" s="79" t="n"/>
      <c r="Q254" s="79" t="n"/>
      <c r="R254" s="79" t="n"/>
      <c r="S254" s="79" t="n"/>
      <c r="T254" s="79" t="n"/>
      <c r="U254" s="79" t="n"/>
      <c r="V254" s="79" t="n"/>
      <c r="W254" s="79" t="n"/>
      <c r="X254" s="79" t="n"/>
      <c r="Y254" s="79" t="n"/>
      <c r="Z254" s="79" t="n"/>
    </row>
    <row r="255">
      <c r="A255" s="77" t="n"/>
      <c r="B255" s="78" t="n">
        <v>25091825491121</v>
      </c>
      <c r="C255" s="58" t="n"/>
      <c r="D255" s="65" t="n"/>
      <c r="E255" s="62" t="n">
        <v>134604</v>
      </c>
      <c r="F255" s="63" t="inlineStr">
        <is>
          <t xml:space="preserve">Sajib Akon </t>
        </is>
      </c>
      <c r="G255" s="60" t="n">
        <v>1833244658</v>
      </c>
      <c r="H255" s="61" t="inlineStr">
        <is>
          <t>Barguna</t>
        </is>
      </c>
      <c r="I255" s="63" t="inlineStr">
        <is>
          <t>Electronics</t>
        </is>
      </c>
      <c r="J255" s="63" t="inlineStr">
        <is>
          <t>TV, Audio / Video, Gaming  Wearables</t>
        </is>
      </c>
      <c r="K255" s="62" t="n">
        <v>696</v>
      </c>
      <c r="L255" s="63" t="inlineStr">
        <is>
          <t>AL-DA AVD-706 100W 4 Inch Tweeter Voice DC 12V 100 Watt 4-8 Ohms Audio Speakers Tweeters For Home Entertainment Receivers &amp; Amplifiers - 183623981</t>
        </is>
      </c>
      <c r="M255" s="79" t="inlineStr">
        <is>
          <t>Not Connected</t>
        </is>
      </c>
      <c r="N255" s="79" t="n"/>
      <c r="O255" s="79" t="n"/>
      <c r="P255" s="79" t="n"/>
      <c r="Q255" s="79" t="n"/>
      <c r="R255" s="79" t="n"/>
      <c r="S255" s="79" t="n"/>
      <c r="T255" s="79" t="n"/>
      <c r="U255" s="79" t="n"/>
      <c r="V255" s="79" t="n"/>
      <c r="W255" s="79" t="n"/>
      <c r="X255" s="79" t="n"/>
      <c r="Y255" s="79" t="n"/>
      <c r="Z255" s="79" t="n"/>
    </row>
    <row r="256">
      <c r="A256" s="77" t="n"/>
      <c r="B256" s="78" t="n">
        <v>25091827696384</v>
      </c>
      <c r="C256" s="58" t="n"/>
      <c r="D256" s="65" t="n"/>
      <c r="E256" s="62" t="n">
        <v>86273</v>
      </c>
      <c r="F256" s="63" t="inlineStr">
        <is>
          <t>Rakibul Hasan</t>
        </is>
      </c>
      <c r="G256" s="60" t="n">
        <v>1894355410</v>
      </c>
      <c r="H256" s="66" t="inlineStr">
        <is>
          <t>Barguna</t>
        </is>
      </c>
      <c r="I256" s="63" t="inlineStr">
        <is>
          <t>Fashion</t>
        </is>
      </c>
      <c r="J256" s="63" t="inlineStr">
        <is>
          <t>Watches Sunglasses Jewellery</t>
        </is>
      </c>
      <c r="K256" s="62" t="n">
        <v>996</v>
      </c>
      <c r="L256" s="63" t="inlineStr">
        <is>
          <t>Arabic Black Aura Watch – Sleek, Stylish &amp; Functional - Watch for Men</t>
        </is>
      </c>
      <c r="M256" s="79" t="inlineStr">
        <is>
          <t>Not Connected</t>
        </is>
      </c>
      <c r="N256" s="79" t="n"/>
      <c r="O256" s="79" t="n"/>
      <c r="P256" s="79" t="n"/>
      <c r="Q256" s="79" t="n"/>
      <c r="R256" s="79" t="n"/>
      <c r="S256" s="79" t="n"/>
      <c r="T256" s="79" t="n"/>
      <c r="U256" s="79" t="n"/>
      <c r="V256" s="79" t="n"/>
      <c r="W256" s="79" t="n"/>
      <c r="X256" s="79" t="n"/>
      <c r="Y256" s="79" t="n"/>
      <c r="Z256" s="79" t="n"/>
    </row>
    <row r="257">
      <c r="A257" s="77" t="n"/>
      <c r="B257" s="78" t="n">
        <v>25091810926285</v>
      </c>
      <c r="C257" s="58" t="n"/>
      <c r="D257" s="65" t="n"/>
      <c r="E257" s="62" t="n">
        <v>175649</v>
      </c>
      <c r="F257" s="63" t="inlineStr">
        <is>
          <t xml:space="preserve">Munthawn Ralte </t>
        </is>
      </c>
      <c r="G257" s="60" t="n">
        <v>1616954519</v>
      </c>
      <c r="H257" s="66" t="inlineStr">
        <is>
          <t>Bandarban</t>
        </is>
      </c>
      <c r="I257" s="63" t="inlineStr">
        <is>
          <t>Electronics</t>
        </is>
      </c>
      <c r="J257" s="63" t="inlineStr">
        <is>
          <t>Home Appliances</t>
        </is>
      </c>
      <c r="K257" s="62" t="n">
        <v>290</v>
      </c>
      <c r="L257" s="63" t="inlineStr">
        <is>
          <t>Primium Quality Top Klean PP Filter 10" 5 Micron (100 gm) Price for 4 pcs</t>
        </is>
      </c>
      <c r="M257" s="79" t="inlineStr">
        <is>
          <t>Not Connected</t>
        </is>
      </c>
      <c r="N257" s="79" t="n"/>
      <c r="O257" s="79" t="n"/>
      <c r="P257" s="79" t="n"/>
      <c r="Q257" s="79" t="n"/>
      <c r="R257" s="79" t="n"/>
      <c r="S257" s="79" t="n"/>
      <c r="T257" s="79" t="n"/>
      <c r="U257" s="79" t="n"/>
      <c r="V257" s="79" t="n"/>
      <c r="W257" s="79" t="n"/>
      <c r="X257" s="79" t="n"/>
      <c r="Y257" s="79" t="n"/>
      <c r="Z257" s="79" t="n"/>
    </row>
    <row r="258">
      <c r="A258" s="77" t="n"/>
      <c r="B258" s="78" t="n">
        <v>25092137938345</v>
      </c>
      <c r="C258" s="58" t="n"/>
      <c r="D258" s="65" t="n"/>
      <c r="E258" s="62" t="n">
        <v>710326</v>
      </c>
      <c r="F258" s="63" t="inlineStr">
        <is>
          <t xml:space="preserve">Mr./Ms. </t>
        </is>
      </c>
      <c r="G258" s="60" t="n">
        <v>1718903983</v>
      </c>
      <c r="H258" s="66" t="inlineStr">
        <is>
          <t>Bandarban</t>
        </is>
      </c>
      <c r="I258" s="63" t="inlineStr">
        <is>
          <t>Fashion</t>
        </is>
      </c>
      <c r="J258" s="63" t="inlineStr">
        <is>
          <t>Bags and Travel</t>
        </is>
      </c>
      <c r="K258" s="62" t="n">
        <v>1125</v>
      </c>
      <c r="L258" s="63" t="inlineStr">
        <is>
          <t>ARCTIC HUNTER B00554 Business Travel &amp; Laptop Backpack – Black</t>
        </is>
      </c>
      <c r="M258" s="79" t="inlineStr">
        <is>
          <t xml:space="preserve">Connected </t>
        </is>
      </c>
      <c r="N258" s="79" t="inlineStr">
        <is>
          <t>Yes</t>
        </is>
      </c>
      <c r="O258" s="79" t="inlineStr">
        <is>
          <t>Wrong Item</t>
        </is>
      </c>
      <c r="P258" s="79" t="n"/>
      <c r="Q258" s="79" t="n"/>
      <c r="R258" s="79" t="inlineStr">
        <is>
          <t>Yes (in time)</t>
        </is>
      </c>
      <c r="S258" s="79" t="inlineStr">
        <is>
          <t>No</t>
        </is>
      </c>
      <c r="T258" s="79" t="inlineStr">
        <is>
          <t>Didn’t try</t>
        </is>
      </c>
      <c r="U258" s="79" t="n"/>
      <c r="V258" s="79" t="n"/>
      <c r="W258" s="79" t="n">
        <v>10</v>
      </c>
      <c r="X258" s="79" t="inlineStr">
        <is>
          <t>Delivery service good but product quality and packaging quality needs to improve.</t>
        </is>
      </c>
      <c r="Y258" s="79" t="inlineStr">
        <is>
          <t>Positive</t>
        </is>
      </c>
      <c r="Z258" s="79" t="n"/>
    </row>
    <row r="259">
      <c r="A259" s="77" t="n"/>
      <c r="B259" s="78" t="n">
        <v>25092316243339</v>
      </c>
      <c r="C259" s="58" t="n"/>
      <c r="D259" s="65" t="n"/>
      <c r="E259" s="62" t="n">
        <v>710123</v>
      </c>
      <c r="F259" s="63" t="inlineStr">
        <is>
          <t xml:space="preserve">আঁম্মুঁ আঁব্বুঁরঁ আঁদঁরেঁরঁ রাঁজঁকঁন্যাঁ </t>
        </is>
      </c>
      <c r="G259" s="60" t="n">
        <v>1625122039</v>
      </c>
      <c r="H259" s="61" t="inlineStr">
        <is>
          <t>Bandarban</t>
        </is>
      </c>
      <c r="I259" s="63" t="inlineStr">
        <is>
          <t>Fashion</t>
        </is>
      </c>
      <c r="J259" s="63" t="inlineStr">
        <is>
          <t>Fashion</t>
        </is>
      </c>
      <c r="K259" s="62" t="n">
        <v>89</v>
      </c>
      <c r="L259" s="63" t="inlineStr">
        <is>
          <t>Mens Black Cap with Tripple Stripe Logo Cap for Men</t>
        </is>
      </c>
      <c r="M259" s="79" t="n"/>
      <c r="N259" s="79" t="n"/>
      <c r="O259" s="79" t="n"/>
      <c r="P259" s="79" t="n"/>
      <c r="Q259" s="79" t="n"/>
      <c r="R259" s="79" t="n"/>
      <c r="S259" s="79" t="n"/>
      <c r="T259" s="79" t="n"/>
      <c r="U259" s="79" t="n"/>
      <c r="V259" s="79" t="n"/>
      <c r="W259" s="79" t="n"/>
      <c r="X259" s="79" t="n"/>
      <c r="Y259" s="79" t="n"/>
      <c r="Z259" s="79" t="n"/>
    </row>
    <row r="260">
      <c r="A260" s="77" t="n"/>
      <c r="B260" s="78" t="n">
        <v>25092358909607</v>
      </c>
      <c r="C260" s="58" t="n"/>
      <c r="D260" s="65" t="n"/>
      <c r="E260" s="62" t="n">
        <v>710123</v>
      </c>
      <c r="F260" s="63" t="inlineStr">
        <is>
          <t xml:space="preserve">আঁম্মুঁ আঁব্বুঁরঁ আঁদঁরেঁরঁ রাঁজঁকঁন্যাঁ </t>
        </is>
      </c>
      <c r="G260" s="60" t="n">
        <v>1625122039</v>
      </c>
      <c r="H260" s="61" t="inlineStr">
        <is>
          <t>Bandarban</t>
        </is>
      </c>
      <c r="I260" s="63" t="inlineStr">
        <is>
          <t>Fashion</t>
        </is>
      </c>
      <c r="J260" s="63" t="inlineStr">
        <is>
          <t>Bags and Travel</t>
        </is>
      </c>
      <c r="K260" s="62" t="n">
        <v>63</v>
      </c>
      <c r="L260" s="63" t="inlineStr">
        <is>
          <t>Vintage Men PU Leather Brand Luxury Wallet Short Slim Male Purses Money Clip Credit Card Dollar Price</t>
        </is>
      </c>
      <c r="M260" s="79" t="n"/>
      <c r="N260" s="79" t="n"/>
      <c r="O260" s="79" t="n"/>
      <c r="P260" s="79" t="n"/>
      <c r="Q260" s="79" t="n"/>
      <c r="R260" s="79" t="n"/>
      <c r="S260" s="79" t="n"/>
      <c r="T260" s="79" t="n"/>
      <c r="U260" s="79" t="n"/>
      <c r="V260" s="79" t="n"/>
      <c r="W260" s="79" t="n"/>
      <c r="X260" s="79" t="n"/>
      <c r="Y260" s="79" t="n"/>
      <c r="Z260" s="79" t="n"/>
    </row>
    <row r="261">
      <c r="A261" s="77" t="n"/>
      <c r="B261" s="78" t="n">
        <v>25091760125336</v>
      </c>
      <c r="C261" s="58" t="n"/>
      <c r="D261" s="65" t="n"/>
      <c r="E261" s="62" t="n">
        <v>666966</v>
      </c>
      <c r="F261" s="63" t="inlineStr">
        <is>
          <t>VI CK EY</t>
        </is>
      </c>
      <c r="G261" s="60" t="n">
        <v>1978549610</v>
      </c>
      <c r="H261" s="61" t="inlineStr">
        <is>
          <t>Bagerhat</t>
        </is>
      </c>
      <c r="I261" s="63" t="inlineStr">
        <is>
          <t>Lifestyle</t>
        </is>
      </c>
      <c r="J261" s="63" t="inlineStr">
        <is>
          <t>Sports  Outdoors</t>
        </is>
      </c>
      <c r="K261" s="62" t="n">
        <v>419</v>
      </c>
      <c r="L261" s="63" t="inlineStr">
        <is>
          <t>পুরুষদের জন্য স্টাইলিশ এবং ফ্যাশনেবল শীতকালীন এবং গ্রীষ্মের কালো রঙের এক্সক্লুসিভ স্নিকারস কনভারস জুতা - lotto shoes for men</t>
        </is>
      </c>
      <c r="M261" s="79" t="inlineStr">
        <is>
          <t xml:space="preserve">Connected </t>
        </is>
      </c>
      <c r="N261" s="79" t="inlineStr">
        <is>
          <t>Yes</t>
        </is>
      </c>
      <c r="O261" s="79" t="inlineStr">
        <is>
          <t>I refused</t>
        </is>
      </c>
      <c r="P261" s="79" t="inlineStr">
        <is>
          <t>customer ended the call.</t>
        </is>
      </c>
      <c r="Q261" s="79" t="n"/>
      <c r="R261" s="79" t="n"/>
      <c r="S261" s="79" t="n"/>
      <c r="T261" s="79" t="n"/>
      <c r="U261" s="79" t="n"/>
      <c r="V261" s="79" t="n"/>
      <c r="W261" s="79" t="n"/>
      <c r="X261" s="79" t="n"/>
      <c r="Y261" s="79" t="n"/>
      <c r="Z261" s="79" t="n"/>
    </row>
    <row r="262">
      <c r="A262" s="77" t="n"/>
      <c r="B262" s="78" t="n">
        <v>25091767851861</v>
      </c>
      <c r="C262" s="58" t="n"/>
      <c r="D262" s="65" t="n"/>
      <c r="E262" s="62" t="n">
        <v>662261</v>
      </c>
      <c r="F262" s="63" t="inlineStr">
        <is>
          <t xml:space="preserve">ARIF Hossain </t>
        </is>
      </c>
      <c r="G262" s="60" t="n">
        <v>1872574973</v>
      </c>
      <c r="H262" s="66" t="inlineStr">
        <is>
          <t>Bagerhat</t>
        </is>
      </c>
      <c r="I262" s="63" t="inlineStr">
        <is>
          <t>Fashion</t>
        </is>
      </c>
      <c r="J262" s="63" t="inlineStr">
        <is>
          <t>Bags and Travel</t>
        </is>
      </c>
      <c r="K262" s="62" t="n">
        <v>87</v>
      </c>
      <c r="L262" s="63" t="inlineStr">
        <is>
          <t>Men's Stylish PU Leather Artificial Wallet Many Bag For Men - Wallet</t>
        </is>
      </c>
      <c r="M262" s="79" t="inlineStr">
        <is>
          <t>Not Connected</t>
        </is>
      </c>
      <c r="N262" s="79" t="n"/>
      <c r="O262" s="79" t="n"/>
      <c r="P262" s="79" t="n"/>
      <c r="Q262" s="79" t="n"/>
      <c r="R262" s="79" t="n"/>
      <c r="S262" s="79" t="n"/>
      <c r="T262" s="79" t="n"/>
      <c r="U262" s="79" t="n"/>
      <c r="V262" s="79" t="n"/>
      <c r="W262" s="79" t="n"/>
      <c r="X262" s="79" t="n"/>
      <c r="Y262" s="79" t="n"/>
      <c r="Z262" s="79" t="n"/>
    </row>
    <row r="263">
      <c r="A263" s="77" t="n"/>
      <c r="B263" s="78" t="n">
        <v>25091785577084</v>
      </c>
      <c r="C263" s="58" t="n"/>
      <c r="D263" s="65" t="n"/>
      <c r="E263" s="62" t="n">
        <v>693132</v>
      </c>
      <c r="F263" s="63" t="inlineStr">
        <is>
          <t>Pranto Mondal</t>
        </is>
      </c>
      <c r="G263" s="60" t="n">
        <v>1904935548</v>
      </c>
      <c r="H263" s="66" t="inlineStr">
        <is>
          <t>Bagerhat</t>
        </is>
      </c>
      <c r="I263" s="63" t="inlineStr">
        <is>
          <t>Electronics</t>
        </is>
      </c>
      <c r="J263" s="63" t="inlineStr">
        <is>
          <t>TV, Audio / Video, Gaming  Wearables</t>
        </is>
      </c>
      <c r="K263" s="62" t="n">
        <v>900</v>
      </c>
      <c r="L263" s="63" t="inlineStr">
        <is>
          <t>Oneplus Airpods Pro TWS wireless Bluetooth Earbuds Multitouch Function TWS Wireless Bluetooth 5.0 Earphones</t>
        </is>
      </c>
      <c r="M263" s="79" t="inlineStr">
        <is>
          <t xml:space="preserve">Connected </t>
        </is>
      </c>
      <c r="N263" s="79" t="inlineStr">
        <is>
          <t>No</t>
        </is>
      </c>
      <c r="O263" s="79" t="n"/>
      <c r="P263" s="79" t="n"/>
      <c r="Q263" s="79" t="n"/>
      <c r="R263" s="79" t="n"/>
      <c r="S263" s="79" t="n"/>
      <c r="T263" s="79" t="n"/>
      <c r="U263" s="79" t="n"/>
      <c r="V263" s="79" t="n"/>
      <c r="W263" s="79" t="n"/>
      <c r="X263" s="79" t="n"/>
      <c r="Y263" s="79" t="n"/>
      <c r="Z263" s="79" t="n"/>
    </row>
    <row r="264">
      <c r="A264" s="77" t="n"/>
      <c r="B264" s="78" t="n">
        <v>25091868014730</v>
      </c>
      <c r="C264" s="58" t="n"/>
      <c r="D264" s="65" t="n"/>
      <c r="E264" s="62" t="n">
        <v>662261</v>
      </c>
      <c r="F264" s="63" t="inlineStr">
        <is>
          <t xml:space="preserve">ARIF Hossain </t>
        </is>
      </c>
      <c r="G264" s="60" t="n">
        <v>1872574973</v>
      </c>
      <c r="H264" s="66" t="inlineStr">
        <is>
          <t>Bagerhat</t>
        </is>
      </c>
      <c r="I264" s="63" t="inlineStr">
        <is>
          <t>Electronics</t>
        </is>
      </c>
      <c r="J264" s="63" t="inlineStr">
        <is>
          <t>Mobiles  Tablets</t>
        </is>
      </c>
      <c r="K264" s="62" t="n">
        <v>109</v>
      </c>
      <c r="L264" s="63" t="inlineStr">
        <is>
          <t>Universal Flexible Mobile Phone Holder Stands - Mobile Stand - Mobile Stand</t>
        </is>
      </c>
      <c r="M264" s="79" t="n"/>
      <c r="N264" s="79" t="n"/>
      <c r="O264" s="79" t="n"/>
      <c r="P264" s="79" t="n"/>
      <c r="Q264" s="79" t="n"/>
      <c r="R264" s="79" t="n"/>
      <c r="S264" s="79" t="n"/>
      <c r="T264" s="79" t="n"/>
      <c r="U264" s="79" t="n"/>
      <c r="V264" s="79" t="n"/>
      <c r="W264" s="79" t="n"/>
      <c r="X264" s="79" t="n"/>
      <c r="Y264" s="79" t="n"/>
      <c r="Z264" s="79" t="n"/>
    </row>
    <row r="265">
      <c r="A265" s="82" t="n"/>
      <c r="B265" s="78" t="n"/>
      <c r="C265" s="76" t="n"/>
      <c r="D265" s="74" t="n"/>
      <c r="E265" s="62" t="n"/>
      <c r="F265" s="63" t="n"/>
      <c r="G265" s="76" t="n"/>
      <c r="H265" s="63" t="n"/>
      <c r="I265" s="63" t="n"/>
      <c r="J265" s="63" t="n"/>
      <c r="K265" s="62" t="n"/>
      <c r="L265" s="63" t="n"/>
      <c r="M265" s="79" t="n"/>
      <c r="N265" s="79" t="n"/>
      <c r="O265" s="79" t="n"/>
      <c r="P265" s="79" t="n"/>
      <c r="Q265" s="79" t="n"/>
      <c r="R265" s="79" t="n"/>
      <c r="S265" s="79" t="n"/>
      <c r="T265" s="79" t="n"/>
      <c r="U265" s="79" t="n"/>
      <c r="V265" s="79" t="n"/>
      <c r="W265" s="79" t="n"/>
      <c r="X265" s="79" t="n"/>
      <c r="Y265" s="79" t="n"/>
      <c r="Z265" s="79" t="n"/>
    </row>
    <row r="266">
      <c r="A266" s="82" t="n"/>
      <c r="B266" s="78" t="n"/>
      <c r="C266" s="76" t="n"/>
      <c r="D266" s="74" t="n"/>
      <c r="E266" s="62" t="n"/>
      <c r="F266" s="63" t="n"/>
      <c r="G266" s="76" t="n"/>
      <c r="H266" s="63" t="n"/>
      <c r="I266" s="63" t="n"/>
      <c r="J266" s="63" t="n"/>
      <c r="K266" s="62" t="n"/>
      <c r="L266" s="63" t="n"/>
      <c r="M266" s="79" t="n"/>
      <c r="N266" s="79" t="n"/>
      <c r="O266" s="79" t="n"/>
      <c r="P266" s="79" t="n"/>
      <c r="Q266" s="79" t="n"/>
      <c r="R266" s="79" t="n"/>
      <c r="S266" s="79" t="n"/>
      <c r="T266" s="79" t="n"/>
      <c r="U266" s="79" t="n"/>
      <c r="V266" s="79" t="n"/>
      <c r="W266" s="79" t="n"/>
      <c r="X266" s="79" t="n"/>
      <c r="Y266" s="79" t="n"/>
      <c r="Z266" s="79" t="n"/>
    </row>
    <row r="267">
      <c r="A267" s="82" t="n"/>
      <c r="B267" s="78" t="n"/>
      <c r="C267" s="76" t="n"/>
      <c r="D267" s="74" t="n"/>
      <c r="E267" s="62" t="n"/>
      <c r="F267" s="63" t="n"/>
      <c r="G267" s="76" t="n"/>
      <c r="H267" s="63" t="n"/>
      <c r="I267" s="63" t="n"/>
      <c r="J267" s="63" t="n"/>
      <c r="K267" s="62" t="n"/>
      <c r="L267" s="63" t="n"/>
      <c r="M267" s="79" t="n"/>
      <c r="N267" s="79" t="n"/>
      <c r="O267" s="79" t="n"/>
      <c r="P267" s="79" t="n"/>
      <c r="Q267" s="79" t="n"/>
      <c r="R267" s="79" t="n"/>
      <c r="S267" s="79" t="n"/>
      <c r="T267" s="79" t="n"/>
      <c r="U267" s="79" t="n"/>
      <c r="V267" s="79" t="n"/>
      <c r="W267" s="79" t="n"/>
      <c r="X267" s="79" t="n"/>
      <c r="Y267" s="79" t="n"/>
      <c r="Z267" s="79" t="n"/>
    </row>
    <row r="268">
      <c r="A268" s="82" t="n"/>
      <c r="B268" s="78" t="n"/>
      <c r="C268" s="76" t="n"/>
      <c r="D268" s="74" t="n"/>
      <c r="E268" s="62" t="n"/>
      <c r="F268" s="63" t="n"/>
      <c r="G268" s="76" t="n"/>
      <c r="H268" s="63" t="n"/>
      <c r="I268" s="63" t="n"/>
      <c r="J268" s="63" t="n"/>
      <c r="K268" s="62" t="n"/>
      <c r="L268" s="63" t="n"/>
      <c r="M268" s="79" t="n"/>
      <c r="N268" s="79" t="n"/>
      <c r="O268" s="79" t="n"/>
      <c r="P268" s="79" t="n"/>
      <c r="Q268" s="79" t="n"/>
      <c r="R268" s="79" t="n"/>
      <c r="S268" s="79" t="n"/>
      <c r="T268" s="79" t="n"/>
      <c r="U268" s="79" t="n"/>
      <c r="V268" s="79" t="n"/>
      <c r="W268" s="79" t="n"/>
      <c r="X268" s="79" t="n"/>
      <c r="Y268" s="79" t="n"/>
      <c r="Z268" s="79" t="n"/>
    </row>
    <row r="269">
      <c r="A269" s="82" t="n"/>
      <c r="B269" s="78" t="n"/>
      <c r="C269" s="76" t="n"/>
      <c r="D269" s="74" t="n"/>
      <c r="E269" s="62" t="n"/>
      <c r="F269" s="63" t="n"/>
      <c r="G269" s="76" t="n"/>
      <c r="H269" s="63" t="n"/>
      <c r="I269" s="63" t="n"/>
      <c r="J269" s="63" t="n"/>
      <c r="K269" s="62" t="n"/>
      <c r="L269" s="63" t="n"/>
      <c r="M269" s="79" t="n"/>
      <c r="N269" s="79" t="n"/>
      <c r="O269" s="79" t="n"/>
      <c r="P269" s="79" t="n"/>
      <c r="Q269" s="79" t="n"/>
      <c r="R269" s="79" t="n"/>
      <c r="S269" s="79" t="n"/>
      <c r="T269" s="79" t="n"/>
      <c r="U269" s="79" t="n"/>
      <c r="V269" s="79" t="n"/>
      <c r="W269" s="79" t="n"/>
      <c r="X269" s="79" t="n"/>
      <c r="Y269" s="79" t="n"/>
      <c r="Z269" s="79" t="n"/>
    </row>
    <row r="270">
      <c r="A270" s="82" t="n"/>
      <c r="B270" s="78" t="n"/>
      <c r="C270" s="76" t="n"/>
      <c r="D270" s="74" t="n"/>
      <c r="E270" s="62" t="n"/>
      <c r="F270" s="63" t="n"/>
      <c r="G270" s="76" t="n"/>
      <c r="H270" s="63" t="n"/>
      <c r="I270" s="63" t="n"/>
      <c r="J270" s="63" t="n"/>
      <c r="K270" s="62" t="n"/>
      <c r="L270" s="63" t="n"/>
      <c r="M270" s="79" t="n"/>
      <c r="N270" s="79" t="n"/>
      <c r="O270" s="79" t="n"/>
      <c r="P270" s="79" t="n"/>
      <c r="Q270" s="79" t="n"/>
      <c r="R270" s="79" t="n"/>
      <c r="S270" s="79" t="n"/>
      <c r="T270" s="79" t="n"/>
      <c r="U270" s="79" t="n"/>
      <c r="V270" s="79" t="n"/>
      <c r="W270" s="79" t="n"/>
      <c r="X270" s="79" t="n"/>
      <c r="Y270" s="79" t="n"/>
      <c r="Z270" s="79" t="n"/>
    </row>
  </sheetData>
  <autoFilter ref="$B$1:$X$270">
    <filterColumn colId="11" hiddenButton="0" showButton="1">
      <filters>
        <filter val="Connected"/>
        <filter val="Not Reachable"/>
      </filters>
    </filterColumn>
  </autoFilter>
  <dataValidations count="10">
    <dataValidation sqref="W5:W270" showDropDown="0" showInputMessage="0" showErrorMessage="1" allowBlank="1" type="list">
      <formula1>"1,2,3,4,5,6,7,8,9,10"</formula1>
    </dataValidation>
    <dataValidation sqref="Y5:Y179 Y181:Y270" showDropDown="0" showInputMessage="0" showErrorMessage="1" allowBlank="1" type="list">
      <formula1>"Negative,Neutral,Positive"</formula1>
    </dataValidation>
    <dataValidation sqref="N5:N270" showDropDown="0" showInputMessage="0" showErrorMessage="1" allowBlank="1" type="list">
      <formula1>"Yes,No"</formula1>
    </dataValidation>
    <dataValidation sqref="R5:R270" showDropDown="0" showInputMessage="0" showErrorMessage="1" allowBlank="1" type="list">
      <formula1>"Yes (in time),Yes (last moment),No,Not sure"</formula1>
    </dataValidation>
    <dataValidation sqref="T5:T270" showDropDown="0" showInputMessage="0" showErrorMessage="1" allowBlank="1" type="list">
      <formula1>"Very easy,Somewhat easy,Difficult,Didn’t try,Not required,Rider Did not Agree"</formula1>
    </dataValidation>
    <dataValidation sqref="M180" showDropDown="0" showInputMessage="0" showErrorMessage="1" allowBlank="1" type="list">
      <formula1>"Connected ,Not Reachable"</formula1>
    </dataValidation>
    <dataValidation sqref="Y180" showDropDown="0" showInputMessage="0" showErrorMessage="1" allowBlank="1" type="list">
      <formula1>"Negative,Neutral,Positive"</formula1>
    </dataValidation>
    <dataValidation sqref="M5:M179 M181:M270" showDropDown="0" showInputMessage="0" showErrorMessage="1" allowBlank="1" type="list">
      <formula1>"Connected ,Not Connected"</formula1>
    </dataValidation>
    <dataValidation sqref="S5:S270" showDropDown="0" showInputMessage="0" showErrorMessage="1" allowBlank="1" type="list">
      <formula1>"Yes (resolved),Yes (not helpful),No,Couldn’t reach,Not Required"</formula1>
    </dataValidation>
    <dataValidation sqref="O5:O270" showDropDown="0" showInputMessage="0" showErrorMessage="1" allowBlank="1" type="list">
      <formula1>"Delivery agent didn’t come,No one was home,Wrong address/contact,Courier didn’t wait,I refused,Other,Damaged Package,Wrong Item,Low Quality"</formula1>
    </dataValidation>
  </dataValidations>
  <pageMargins left="0.75" right="0.75" top="1" bottom="1" header="0.5" footer="0.5"/>
</worksheet>
</file>

<file path=xl/worksheets/sheet5.xml><?xml version="1.0" encoding="utf-8"?>
<worksheet xmlns="http://schemas.openxmlformats.org/spreadsheetml/2006/main">
  <sheetPr>
    <tabColor rgb="FF00FF00"/>
    <outlinePr summaryBelow="0" summaryRight="0"/>
    <pageSetUpPr/>
  </sheetPr>
  <dimension ref="A1:AA106"/>
  <sheetViews>
    <sheetView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2.63" defaultRowHeight="15.75" customHeight="1"/>
  <cols>
    <col width="4.75" customWidth="1" style="85" min="1" max="1"/>
    <col width="15" customWidth="1" style="85" min="2" max="2"/>
    <col width="12.13" customWidth="1" style="85" min="3" max="3"/>
    <col width="17.75" customWidth="1" style="85" min="5" max="5"/>
    <col width="21.13" customWidth="1" style="85" min="6" max="6"/>
    <col width="15" customWidth="1" style="85" min="11" max="12"/>
    <col width="15.5" customWidth="1" style="85" min="13" max="13"/>
    <col width="26" customWidth="1" style="85" min="14" max="15"/>
    <col width="32.25" customWidth="1" style="85" min="16" max="16"/>
    <col hidden="1" width="26" customWidth="1" style="85" min="17" max="17"/>
    <col width="26" customWidth="1" style="85" min="18" max="19"/>
    <col width="41.38" customWidth="1" style="85" min="20" max="20"/>
    <col width="31.5" customWidth="1" style="85" min="21" max="21"/>
    <col hidden="1" width="26" customWidth="1" style="85" min="22" max="22"/>
    <col width="13.13" customWidth="1" style="85" min="23" max="23"/>
    <col width="26" customWidth="1" style="85" min="24" max="26"/>
    <col hidden="1" width="26" customWidth="1" style="85" min="27" max="27"/>
  </cols>
  <sheetData>
    <row r="1">
      <c r="A1" s="42" t="n"/>
      <c r="B1" s="42" t="n"/>
      <c r="C1" s="42" t="n"/>
      <c r="D1" s="42" t="n"/>
      <c r="E1" s="42">
        <f>COUNTA(E5:E106)</f>
        <v/>
      </c>
      <c r="F1" s="42" t="n"/>
      <c r="G1" s="42" t="n"/>
      <c r="H1" s="42" t="n"/>
      <c r="I1" s="42" t="n"/>
      <c r="J1" s="42" t="n"/>
      <c r="K1" s="42" t="n"/>
      <c r="L1" s="42" t="n"/>
      <c r="M1" s="42" t="n"/>
      <c r="N1" s="42">
        <f>COUNTIF(N5:N106,"Yes")</f>
        <v/>
      </c>
      <c r="O1" s="42">
        <f>COUNTA(O5:O34)</f>
        <v/>
      </c>
      <c r="P1" s="42" t="n"/>
      <c r="Q1" s="42" t="n"/>
      <c r="R1" s="42">
        <f>COUNTA(R5:R34)</f>
        <v/>
      </c>
      <c r="S1" s="42">
        <f>COUNTA(S5:S34)</f>
        <v/>
      </c>
      <c r="T1" s="42">
        <f>COUNTA(T5:T34)</f>
        <v/>
      </c>
      <c r="U1" s="42">
        <f>COUNTA(U5:U34)</f>
        <v/>
      </c>
      <c r="V1" s="42">
        <f>COUNTA(V5:V34)</f>
        <v/>
      </c>
      <c r="W1" s="42">
        <f>COUNTA(W5:W34)</f>
        <v/>
      </c>
      <c r="X1" s="42">
        <f>COUNTA(X5:X34)</f>
        <v/>
      </c>
      <c r="Y1" s="42" t="n"/>
      <c r="Z1" s="42" t="n"/>
      <c r="AA1" s="42" t="n"/>
    </row>
    <row r="2">
      <c r="A2" s="42" t="n"/>
      <c r="B2" s="42" t="n"/>
      <c r="C2" s="42" t="n"/>
      <c r="D2" s="42" t="n"/>
      <c r="E2" s="42" t="n"/>
      <c r="F2" s="42" t="n"/>
      <c r="G2" s="42" t="n"/>
      <c r="H2" s="42" t="n"/>
      <c r="I2" s="42" t="n"/>
      <c r="J2" s="42" t="n"/>
      <c r="K2" s="42" t="n"/>
      <c r="L2" s="42" t="n"/>
      <c r="M2" s="42" t="n"/>
      <c r="N2" s="43" t="inlineStr">
        <is>
          <t>1 (compulsory)</t>
        </is>
      </c>
      <c r="O2" s="43" t="inlineStr">
        <is>
          <t>2 (compulsory)</t>
        </is>
      </c>
      <c r="P2" s="42" t="n"/>
      <c r="Q2" s="42" t="n"/>
      <c r="R2" s="43" t="inlineStr">
        <is>
          <t>3 (compulsory)</t>
        </is>
      </c>
      <c r="S2" s="43" t="inlineStr">
        <is>
          <t>4 (compulsory)</t>
        </is>
      </c>
      <c r="T2" s="44" t="inlineStr">
        <is>
          <t>5 (optional)</t>
        </is>
      </c>
      <c r="U2" s="45" t="n"/>
      <c r="V2" s="45" t="n"/>
      <c r="W2" s="43" t="inlineStr">
        <is>
          <t>6 (compulsory)</t>
        </is>
      </c>
      <c r="X2" s="46" t="inlineStr">
        <is>
          <t>Cartup Purchasing Experience</t>
        </is>
      </c>
      <c r="Y2" s="46" t="n"/>
      <c r="Z2" s="45" t="inlineStr">
        <is>
          <t>Sentiment</t>
        </is>
      </c>
      <c r="AA2" s="45" t="n"/>
    </row>
    <row r="3">
      <c r="A3" s="51" t="n"/>
      <c r="B3" s="49" t="n"/>
      <c r="C3" s="49" t="n"/>
      <c r="D3" s="49" t="n"/>
      <c r="E3" s="49" t="n"/>
      <c r="F3" s="49" t="n"/>
      <c r="G3" s="49" t="n"/>
      <c r="H3" s="49" t="n"/>
      <c r="I3" s="49" t="n"/>
      <c r="J3" s="49" t="n"/>
      <c r="K3" s="49" t="n"/>
      <c r="L3" s="49" t="n"/>
      <c r="M3" s="49" t="n"/>
      <c r="N3" s="49" t="inlineStr">
        <is>
          <t>Are you available for 2 to 3 mins to help us answer a few questions</t>
        </is>
      </c>
      <c r="O3" s="49" t="inlineStr">
        <is>
          <t>Was the return picked up on the promised date?</t>
        </is>
      </c>
      <c r="P3" s="49" t="n"/>
      <c r="Q3" s="49" t="n"/>
      <c r="R3" s="49" t="inlineStr">
        <is>
          <t>Did the pickup agent contact you before arrival?</t>
        </is>
      </c>
      <c r="S3" s="49" t="inlineStr">
        <is>
          <t>How would you rate the behavior of the pickup agent?</t>
        </is>
      </c>
      <c r="T3" s="49" t="inlineStr">
        <is>
          <t xml:space="preserve"> Was the return process explained properly by the agent or system?	</t>
        </is>
      </c>
      <c r="U3" s="49" t="inlineStr">
        <is>
          <t>Open ended coments/experience</t>
        </is>
      </c>
      <c r="V3" s="49" t="n"/>
      <c r="W3" s="49" t="inlineStr">
        <is>
          <t>Overall pickup experience</t>
        </is>
      </c>
      <c r="X3" s="49" t="inlineStr">
        <is>
          <t>Return Reason &amp; Overall Experience</t>
        </is>
      </c>
      <c r="Y3" s="49" t="inlineStr">
        <is>
          <t>Return Reason</t>
        </is>
      </c>
      <c r="Z3" s="49" t="inlineStr">
        <is>
          <t>Customer's Sentiment</t>
        </is>
      </c>
      <c r="AA3" s="49" t="n"/>
    </row>
    <row r="4">
      <c r="A4" s="52" t="inlineStr">
        <is>
          <t>Serial No.</t>
        </is>
      </c>
      <c r="B4" s="52" t="inlineStr">
        <is>
          <t>Order No.</t>
        </is>
      </c>
      <c r="C4" s="52" t="inlineStr">
        <is>
          <t>Agent Name</t>
        </is>
      </c>
      <c r="D4" s="52" t="inlineStr">
        <is>
          <t>Calling Date</t>
        </is>
      </c>
      <c r="E4" s="52" t="inlineStr">
        <is>
          <t>Buyer ID</t>
        </is>
      </c>
      <c r="F4" s="52" t="inlineStr">
        <is>
          <t>Name</t>
        </is>
      </c>
      <c r="G4" s="52" t="inlineStr">
        <is>
          <t>Phone No.</t>
        </is>
      </c>
      <c r="H4" s="52" t="inlineStr">
        <is>
          <t>District</t>
        </is>
      </c>
      <c r="I4" s="52" t="inlineStr">
        <is>
          <t>Category 1</t>
        </is>
      </c>
      <c r="J4" s="52" t="inlineStr">
        <is>
          <t>Category 2</t>
        </is>
      </c>
      <c r="K4" s="52" t="inlineStr">
        <is>
          <t>Order Value</t>
        </is>
      </c>
      <c r="L4" s="52" t="inlineStr">
        <is>
          <t>Product Name</t>
        </is>
      </c>
      <c r="M4" s="52" t="inlineStr">
        <is>
          <t>Call Status</t>
        </is>
      </c>
      <c r="N4" s="55" t="inlineStr">
        <is>
          <t>(yes/no)</t>
        </is>
      </c>
      <c r="O4" s="55" t="inlineStr">
        <is>
          <t>(select from drop-down)</t>
        </is>
      </c>
      <c r="P4" s="55" t="inlineStr">
        <is>
          <t>Comments</t>
        </is>
      </c>
      <c r="Q4" s="55" t="inlineStr">
        <is>
          <t>Structured Comments Asef</t>
        </is>
      </c>
      <c r="R4" s="55" t="inlineStr">
        <is>
          <t>(select from drop-down)</t>
        </is>
      </c>
      <c r="S4" s="55" t="inlineStr">
        <is>
          <t>(select from drop-down)</t>
        </is>
      </c>
      <c r="T4" s="55" t="inlineStr">
        <is>
          <t>(select from drop-down)</t>
        </is>
      </c>
      <c r="U4" s="55" t="inlineStr">
        <is>
          <t>(open-ended)</t>
        </is>
      </c>
      <c r="V4" s="55" t="inlineStr">
        <is>
          <t>Structured Comments Asef</t>
        </is>
      </c>
      <c r="W4" s="55" t="inlineStr">
        <is>
          <t>(select from drop-down)</t>
        </is>
      </c>
      <c r="X4" s="55" t="inlineStr">
        <is>
          <t>(open-ended)</t>
        </is>
      </c>
      <c r="Y4" s="55" t="n"/>
      <c r="Z4" s="55" t="inlineStr">
        <is>
          <t>Other</t>
        </is>
      </c>
      <c r="AA4" s="55" t="inlineStr">
        <is>
          <t>Structured Comments Asef</t>
        </is>
      </c>
    </row>
    <row r="5">
      <c r="A5" s="77" t="n"/>
      <c r="B5" s="78" t="n">
        <v>25091619140254</v>
      </c>
      <c r="C5" s="58" t="n"/>
      <c r="D5" s="65" t="n"/>
      <c r="E5" s="62" t="n">
        <v>671190</v>
      </c>
      <c r="F5" s="63" t="inlineStr">
        <is>
          <t>Mohiuddin Mahi</t>
        </is>
      </c>
      <c r="G5" s="60" t="n">
        <v>1722153531</v>
      </c>
      <c r="H5" s="66" t="inlineStr">
        <is>
          <t>Mymensingh</t>
        </is>
      </c>
      <c r="I5" s="63" t="inlineStr">
        <is>
          <t>Lifestyle</t>
        </is>
      </c>
      <c r="J5" s="63" t="inlineStr">
        <is>
          <t>Stationery  Craft</t>
        </is>
      </c>
      <c r="K5" s="62" t="n">
        <v>27</v>
      </c>
      <c r="L5" s="63" t="inlineStr">
        <is>
          <t>Emoji Pencil Erasers Yellow Color For Children - 4pcs (Pack of 2)</t>
        </is>
      </c>
      <c r="M5" s="76" t="inlineStr">
        <is>
          <t xml:space="preserve">Connected </t>
        </is>
      </c>
      <c r="N5" s="76" t="inlineStr">
        <is>
          <t>Yes</t>
        </is>
      </c>
      <c r="O5" s="76" t="inlineStr">
        <is>
          <t>Yes (on time)</t>
        </is>
      </c>
      <c r="P5" s="76" t="n"/>
      <c r="Q5" s="76" t="n"/>
      <c r="R5" s="76" t="inlineStr">
        <is>
          <t>Yes (timely call/SMS)</t>
        </is>
      </c>
      <c r="S5" s="76" t="inlineStr">
        <is>
          <t>Very polite and helpful</t>
        </is>
      </c>
      <c r="T5" s="76" t="inlineStr">
        <is>
          <t>Yes</t>
        </is>
      </c>
      <c r="U5" s="76" t="n"/>
      <c r="V5" s="76" t="n"/>
      <c r="W5" s="76" t="n">
        <v>8</v>
      </c>
      <c r="X5" s="76" t="n"/>
      <c r="Y5" s="76" t="n"/>
      <c r="Z5" s="76" t="inlineStr">
        <is>
          <t>Positive</t>
        </is>
      </c>
      <c r="AA5" s="79" t="n"/>
    </row>
    <row r="6">
      <c r="A6" s="77" t="n"/>
      <c r="B6" s="78" t="n">
        <v>25091618462606</v>
      </c>
      <c r="C6" s="58" t="n"/>
      <c r="D6" s="65" t="n"/>
      <c r="E6" s="62" t="n">
        <v>503179</v>
      </c>
      <c r="F6" s="63" t="inlineStr">
        <is>
          <t>Md Sakib Hossain</t>
        </is>
      </c>
      <c r="G6" s="60" t="n">
        <v>1771607610</v>
      </c>
      <c r="H6" s="66" t="inlineStr">
        <is>
          <t>Chattogram</t>
        </is>
      </c>
      <c r="I6" s="63" t="inlineStr">
        <is>
          <t>Fashion</t>
        </is>
      </c>
      <c r="J6" s="63" t="inlineStr">
        <is>
          <t>Watches Sunglasses Jewellery</t>
        </is>
      </c>
      <c r="K6" s="62" t="n">
        <v>353</v>
      </c>
      <c r="L6" s="63" t="inlineStr">
        <is>
          <t>OLEVS 2871 New Premi Usm Waterproof Fashion Watch For Men - Watch For Men</t>
        </is>
      </c>
      <c r="M6" s="76" t="inlineStr">
        <is>
          <t xml:space="preserve">Connected </t>
        </is>
      </c>
      <c r="N6" s="76" t="inlineStr">
        <is>
          <t>Yes</t>
        </is>
      </c>
      <c r="O6" s="76" t="inlineStr">
        <is>
          <t>Yes (on time)</t>
        </is>
      </c>
      <c r="P6" s="76" t="n"/>
      <c r="Q6" s="76" t="n"/>
      <c r="R6" s="76" t="inlineStr">
        <is>
          <t>Yes (timely call/SMS)</t>
        </is>
      </c>
      <c r="S6" s="76" t="inlineStr">
        <is>
          <t>Very polite and helpful</t>
        </is>
      </c>
      <c r="T6" s="76" t="inlineStr">
        <is>
          <t>Yes</t>
        </is>
      </c>
      <c r="U6" s="76" t="n"/>
      <c r="V6" s="76" t="n"/>
      <c r="W6" s="76" t="n">
        <v>9</v>
      </c>
      <c r="X6" s="76" t="n"/>
      <c r="Y6" s="76" t="n"/>
      <c r="Z6" s="76" t="inlineStr">
        <is>
          <t>Positive</t>
        </is>
      </c>
      <c r="AA6" s="79" t="n"/>
    </row>
    <row r="7">
      <c r="A7" s="77" t="n"/>
      <c r="B7" s="78" t="n">
        <v>25091625020057</v>
      </c>
      <c r="C7" s="58" t="n"/>
      <c r="D7" s="65" t="n"/>
      <c r="E7" s="62" t="n">
        <v>553042</v>
      </c>
      <c r="F7" s="63" t="inlineStr">
        <is>
          <t xml:space="preserve">Shemul Akon </t>
        </is>
      </c>
      <c r="G7" s="60" t="n">
        <v>1711901209</v>
      </c>
      <c r="H7" s="66" t="inlineStr">
        <is>
          <t>Bagerhat</t>
        </is>
      </c>
      <c r="I7" s="63" t="inlineStr">
        <is>
          <t>Lifestyle</t>
        </is>
      </c>
      <c r="J7" s="63" t="inlineStr">
        <is>
          <t>Furniture  Decor</t>
        </is>
      </c>
      <c r="K7" s="62" t="n">
        <v>175</v>
      </c>
      <c r="L7" s="63" t="inlineStr">
        <is>
          <t>Sit Right Back Support for Any Kind of Chair - Black</t>
        </is>
      </c>
      <c r="M7" s="76" t="inlineStr">
        <is>
          <t xml:space="preserve">Connected </t>
        </is>
      </c>
      <c r="N7" s="76" t="inlineStr">
        <is>
          <t>Yes</t>
        </is>
      </c>
      <c r="O7" s="76" t="inlineStr">
        <is>
          <t>Yes (on time)</t>
        </is>
      </c>
      <c r="P7" s="76" t="n"/>
      <c r="Q7" s="76" t="n"/>
      <c r="R7" s="76" t="inlineStr">
        <is>
          <t>Yes (timely call/SMS)</t>
        </is>
      </c>
      <c r="S7" s="76" t="inlineStr">
        <is>
          <t>Very polite and helpful</t>
        </is>
      </c>
      <c r="T7" s="76" t="inlineStr">
        <is>
          <t>Didn't check</t>
        </is>
      </c>
      <c r="U7" s="76" t="n"/>
      <c r="V7" s="76" t="n"/>
      <c r="W7" s="76" t="n">
        <v>8</v>
      </c>
      <c r="X7" s="76" t="n"/>
      <c r="Y7" s="76" t="n"/>
      <c r="Z7" s="76" t="inlineStr">
        <is>
          <t>Positive</t>
        </is>
      </c>
      <c r="AA7" s="79" t="n"/>
    </row>
    <row r="8">
      <c r="A8" s="77" t="n"/>
      <c r="B8" s="78" t="n">
        <v>25091622473323</v>
      </c>
      <c r="C8" s="58" t="n"/>
      <c r="D8" s="65" t="n"/>
      <c r="E8" s="62" t="n">
        <v>683347</v>
      </c>
      <c r="F8" s="63" t="inlineStr">
        <is>
          <t xml:space="preserve">Emon Ahmed </t>
        </is>
      </c>
      <c r="G8" s="60" t="n">
        <v>1329170824</v>
      </c>
      <c r="H8" s="66" t="inlineStr">
        <is>
          <t>Habiganj</t>
        </is>
      </c>
      <c r="I8" s="63" t="inlineStr">
        <is>
          <t>Fashion</t>
        </is>
      </c>
      <c r="J8" s="63" t="inlineStr">
        <is>
          <t>Fashion</t>
        </is>
      </c>
      <c r="K8" s="62" t="n">
        <v>400</v>
      </c>
      <c r="L8" s="63" t="inlineStr">
        <is>
          <t>Rebello Black Almond Men's Leather Shoe</t>
        </is>
      </c>
      <c r="M8" s="76" t="inlineStr">
        <is>
          <t xml:space="preserve">Connected </t>
        </is>
      </c>
      <c r="N8" s="76" t="inlineStr">
        <is>
          <t>Yes</t>
        </is>
      </c>
      <c r="O8" s="76" t="inlineStr">
        <is>
          <t>Yes (on time)</t>
        </is>
      </c>
      <c r="P8" s="76" t="n"/>
      <c r="Q8" s="76" t="n"/>
      <c r="R8" s="76" t="inlineStr">
        <is>
          <t>Yes (timely call/SMS)</t>
        </is>
      </c>
      <c r="S8" s="76" t="inlineStr">
        <is>
          <t>Very polite and helpful</t>
        </is>
      </c>
      <c r="T8" s="76" t="inlineStr">
        <is>
          <t>Yes</t>
        </is>
      </c>
      <c r="U8" s="76" t="n"/>
      <c r="V8" s="76" t="n"/>
      <c r="W8" s="76" t="n">
        <v>10</v>
      </c>
      <c r="X8" s="76" t="n"/>
      <c r="Y8" s="76" t="n"/>
      <c r="Z8" s="76" t="inlineStr">
        <is>
          <t>Positive</t>
        </is>
      </c>
      <c r="AA8" s="79" t="n"/>
    </row>
    <row r="9">
      <c r="A9" s="77" t="n"/>
      <c r="B9" s="78" t="n">
        <v>25091619651552</v>
      </c>
      <c r="C9" s="58" t="n"/>
      <c r="D9" s="65" t="n"/>
      <c r="E9" s="62" t="n">
        <v>692966</v>
      </c>
      <c r="F9" s="63" t="inlineStr">
        <is>
          <t xml:space="preserve">mdyousuf </t>
        </is>
      </c>
      <c r="G9" s="60" t="n">
        <v>1690227785</v>
      </c>
      <c r="H9" s="61" t="inlineStr">
        <is>
          <t>Noakhali</t>
        </is>
      </c>
      <c r="I9" s="63" t="inlineStr">
        <is>
          <t>Fashion</t>
        </is>
      </c>
      <c r="J9" s="63" t="inlineStr">
        <is>
          <t>Watches Sunglasses Jewellery</t>
        </is>
      </c>
      <c r="K9" s="62" t="n">
        <v>1125</v>
      </c>
      <c r="L9" s="63" t="inlineStr">
        <is>
          <t>SKMEI 1688 Gray Camouflage PU Dual Time Watch For Unisex - Gray Camouflage</t>
        </is>
      </c>
      <c r="M9" s="76" t="inlineStr">
        <is>
          <t xml:space="preserve">Connected </t>
        </is>
      </c>
      <c r="N9" s="76" t="inlineStr">
        <is>
          <t>Yes</t>
        </is>
      </c>
      <c r="O9" s="76" t="inlineStr">
        <is>
          <t>Yes (on time)</t>
        </is>
      </c>
      <c r="P9" s="76" t="n"/>
      <c r="Q9" s="76" t="n"/>
      <c r="R9" s="76" t="inlineStr">
        <is>
          <t>Yes (timely call/SMS)</t>
        </is>
      </c>
      <c r="S9" s="76" t="inlineStr">
        <is>
          <t>Very polite and helpful</t>
        </is>
      </c>
      <c r="T9" s="76" t="inlineStr">
        <is>
          <t>Yes</t>
        </is>
      </c>
      <c r="U9" s="76" t="n"/>
      <c r="V9" s="76" t="n"/>
      <c r="W9" s="76" t="n">
        <v>10</v>
      </c>
      <c r="X9" s="76" t="n"/>
      <c r="Y9" s="76" t="n"/>
      <c r="Z9" s="76" t="inlineStr">
        <is>
          <t>Positive</t>
        </is>
      </c>
      <c r="AA9" s="79" t="n"/>
    </row>
    <row r="10">
      <c r="A10" s="77" t="n"/>
      <c r="B10" s="78" t="n">
        <v>25091628510878</v>
      </c>
      <c r="C10" s="58" t="n"/>
      <c r="D10" s="65" t="n"/>
      <c r="E10" s="62" t="n">
        <v>674073</v>
      </c>
      <c r="F10" s="63" t="inlineStr">
        <is>
          <t>Samiul khan</t>
        </is>
      </c>
      <c r="G10" s="60" t="n">
        <v>1726020938</v>
      </c>
      <c r="H10" s="66" t="inlineStr">
        <is>
          <t>Gopalgonj</t>
        </is>
      </c>
      <c r="I10" s="63" t="inlineStr">
        <is>
          <t>FMCG</t>
        </is>
      </c>
      <c r="J10" s="63" t="inlineStr">
        <is>
          <t>Groceries</t>
        </is>
      </c>
      <c r="K10" s="62" t="n">
        <v>645</v>
      </c>
      <c r="L10" s="63" t="inlineStr">
        <is>
          <t>Buniyadi Chinigura Rice 1 Kg</t>
        </is>
      </c>
      <c r="M10" s="76" t="inlineStr">
        <is>
          <t>Not Connected</t>
        </is>
      </c>
      <c r="N10" s="76" t="n"/>
      <c r="O10" s="76" t="n"/>
      <c r="P10" s="76" t="n"/>
      <c r="Q10" s="76" t="n"/>
      <c r="R10" s="76" t="n"/>
      <c r="S10" s="76" t="n"/>
      <c r="T10" s="76" t="n"/>
      <c r="U10" s="76" t="n"/>
      <c r="V10" s="76" t="n"/>
      <c r="W10" s="76" t="n"/>
      <c r="X10" s="76" t="n"/>
      <c r="Y10" s="76" t="n"/>
      <c r="Z10" s="76" t="n"/>
      <c r="AA10" s="79" t="n"/>
    </row>
    <row r="11">
      <c r="A11" s="77" t="n"/>
      <c r="B11" s="78" t="n">
        <v>25091638845882</v>
      </c>
      <c r="C11" s="58" t="n"/>
      <c r="D11" s="65" t="n"/>
      <c r="E11" s="62" t="n">
        <v>690806</v>
      </c>
      <c r="F11" s="63" t="inlineStr">
        <is>
          <t xml:space="preserve">Mr./Ms. </t>
        </is>
      </c>
      <c r="G11" s="60" t="n">
        <v>1855806855</v>
      </c>
      <c r="H11" s="61" t="inlineStr">
        <is>
          <t>Chattogram</t>
        </is>
      </c>
      <c r="I11" s="63" t="inlineStr">
        <is>
          <t>Fashion</t>
        </is>
      </c>
      <c r="J11" s="63" t="inlineStr">
        <is>
          <t>Fashion</t>
        </is>
      </c>
      <c r="K11" s="62" t="n">
        <v>274</v>
      </c>
      <c r="L11" s="63" t="inlineStr">
        <is>
          <t>Charming and Attractive looking fashionable Night dress Lounge Sleepwear for Women</t>
        </is>
      </c>
      <c r="M11" s="76" t="inlineStr">
        <is>
          <t xml:space="preserve">Connected </t>
        </is>
      </c>
      <c r="N11" s="76" t="inlineStr">
        <is>
          <t>Yes</t>
        </is>
      </c>
      <c r="O11" s="76" t="inlineStr">
        <is>
          <t>Yes (on time)</t>
        </is>
      </c>
      <c r="P11" s="76" t="n"/>
      <c r="Q11" s="76" t="n"/>
      <c r="R11" s="76" t="inlineStr">
        <is>
          <t>Yes (timely call/SMS)</t>
        </is>
      </c>
      <c r="S11" s="76" t="inlineStr">
        <is>
          <t>Very polite and helpful</t>
        </is>
      </c>
      <c r="T11" s="76" t="inlineStr">
        <is>
          <t>Yes</t>
        </is>
      </c>
      <c r="U11" s="76" t="n"/>
      <c r="V11" s="76" t="n"/>
      <c r="W11" s="76" t="n">
        <v>9</v>
      </c>
      <c r="X11" s="76" t="n"/>
      <c r="Y11" s="76" t="n"/>
      <c r="Z11" s="76" t="inlineStr">
        <is>
          <t>Positive</t>
        </is>
      </c>
      <c r="AA11" s="79" t="n"/>
    </row>
    <row r="12">
      <c r="A12" s="77" t="n"/>
      <c r="B12" s="78" t="n">
        <v>25091639698383</v>
      </c>
      <c r="C12" s="58" t="n"/>
      <c r="D12" s="65" t="n"/>
      <c r="E12" s="62" t="n">
        <v>691692</v>
      </c>
      <c r="F12" s="63" t="inlineStr">
        <is>
          <t xml:space="preserve">Šøhêl Islam </t>
        </is>
      </c>
      <c r="G12" s="60" t="n">
        <v>1937400530</v>
      </c>
      <c r="H12" s="66" t="inlineStr">
        <is>
          <t>Gazipur</t>
        </is>
      </c>
      <c r="I12" s="63" t="inlineStr">
        <is>
          <t>Electronics</t>
        </is>
      </c>
      <c r="J12" s="63" t="inlineStr">
        <is>
          <t>Cameras</t>
        </is>
      </c>
      <c r="K12" s="62" t="n">
        <v>193</v>
      </c>
      <c r="L12" s="63" t="inlineStr">
        <is>
          <t>8X Optical Zoom Telescope Camera Lens Clip Mobile Phone Telescope</t>
        </is>
      </c>
      <c r="M12" s="76" t="inlineStr">
        <is>
          <t>Not Connected</t>
        </is>
      </c>
      <c r="N12" s="76" t="n"/>
      <c r="O12" s="76" t="n"/>
      <c r="P12" s="76" t="n"/>
      <c r="Q12" s="76" t="n"/>
      <c r="R12" s="76" t="n"/>
      <c r="S12" s="76" t="n"/>
      <c r="T12" s="76" t="n"/>
      <c r="U12" s="76" t="n"/>
      <c r="V12" s="76" t="n"/>
      <c r="W12" s="76" t="n"/>
      <c r="X12" s="76" t="n"/>
      <c r="Y12" s="76" t="n"/>
      <c r="Z12" s="76" t="n"/>
      <c r="AA12" s="79" t="n"/>
    </row>
    <row r="13">
      <c r="A13" s="77" t="n"/>
      <c r="B13" s="78" t="n">
        <v>25091646311858</v>
      </c>
      <c r="C13" s="58" t="n"/>
      <c r="D13" s="65" t="n"/>
      <c r="E13" s="62" t="n">
        <v>662016</v>
      </c>
      <c r="F13" s="63" t="inlineStr">
        <is>
          <t xml:space="preserve">Md.Tafsir Uddin </t>
        </is>
      </c>
      <c r="G13" s="60" t="n">
        <v>1580815206</v>
      </c>
      <c r="H13" s="66" t="inlineStr">
        <is>
          <t>Madaripur</t>
        </is>
      </c>
      <c r="I13" s="63" t="inlineStr">
        <is>
          <t>Electronics</t>
        </is>
      </c>
      <c r="J13" s="63" t="inlineStr">
        <is>
          <t>TV, Audio / Video, Gaming  Wearables</t>
        </is>
      </c>
      <c r="K13" s="62" t="n">
        <v>379</v>
      </c>
      <c r="L13" s="63" t="inlineStr">
        <is>
          <t>G9 Pro+ Stereo Type-C Charging Long Standby Wireless Neckband Headphone</t>
        </is>
      </c>
      <c r="M13" s="76" t="inlineStr">
        <is>
          <t xml:space="preserve">Connected </t>
        </is>
      </c>
      <c r="N13" s="76" t="inlineStr">
        <is>
          <t>Yes</t>
        </is>
      </c>
      <c r="O13" s="76" t="inlineStr">
        <is>
          <t>Yes (on time)</t>
        </is>
      </c>
      <c r="P13" s="76" t="n"/>
      <c r="Q13" s="76" t="n"/>
      <c r="R13" s="76" t="inlineStr">
        <is>
          <t>Yes (timely call/SMS)</t>
        </is>
      </c>
      <c r="S13" s="76" t="inlineStr">
        <is>
          <t>Very polite and helpful</t>
        </is>
      </c>
      <c r="T13" s="76" t="inlineStr">
        <is>
          <t>Yes</t>
        </is>
      </c>
      <c r="U13" s="76" t="n"/>
      <c r="V13" s="76" t="n"/>
      <c r="W13" s="76" t="n">
        <v>7</v>
      </c>
      <c r="X13" s="76" t="n"/>
      <c r="Y13" s="76" t="n"/>
      <c r="Z13" s="76" t="inlineStr">
        <is>
          <t>Positive</t>
        </is>
      </c>
      <c r="AA13" s="79" t="n"/>
    </row>
    <row r="14">
      <c r="A14" s="77" t="n"/>
      <c r="B14" s="78" t="n">
        <v>25091648363998</v>
      </c>
      <c r="C14" s="58" t="n"/>
      <c r="D14" s="65" t="n"/>
      <c r="E14" s="62" t="n">
        <v>691405</v>
      </c>
      <c r="F14" s="63" t="inlineStr">
        <is>
          <t xml:space="preserve">Mr./Ms. </t>
        </is>
      </c>
      <c r="G14" s="60" t="n">
        <v>1727568594</v>
      </c>
      <c r="H14" s="61" t="inlineStr">
        <is>
          <t>Jashore</t>
        </is>
      </c>
      <c r="I14" s="63" t="inlineStr">
        <is>
          <t>Fashion</t>
        </is>
      </c>
      <c r="J14" s="63" t="inlineStr">
        <is>
          <t>Fashion</t>
        </is>
      </c>
      <c r="K14" s="62" t="n">
        <v>1023</v>
      </c>
      <c r="L14" s="63" t="inlineStr">
        <is>
          <t>Georgette High Quality Stylish Saree. Saree with unstitched Blouse for Women</t>
        </is>
      </c>
      <c r="M14" s="76" t="inlineStr">
        <is>
          <t>Not Connected</t>
        </is>
      </c>
      <c r="N14" s="76" t="n"/>
      <c r="O14" s="76" t="n"/>
      <c r="P14" s="76" t="n"/>
      <c r="Q14" s="76" t="n"/>
      <c r="R14" s="76" t="n"/>
      <c r="S14" s="76" t="n"/>
      <c r="T14" s="76" t="n"/>
      <c r="U14" s="76" t="n"/>
      <c r="V14" s="76" t="n"/>
      <c r="W14" s="76" t="n"/>
      <c r="X14" s="76" t="n"/>
      <c r="Y14" s="76" t="n"/>
      <c r="Z14" s="76" t="n"/>
      <c r="AA14" s="79" t="n"/>
    </row>
    <row r="15">
      <c r="A15" s="77" t="n"/>
      <c r="B15" s="78" t="n">
        <v>25091668271235</v>
      </c>
      <c r="C15" s="58" t="n"/>
      <c r="D15" s="65" t="n"/>
      <c r="E15" s="62" t="n">
        <v>613069</v>
      </c>
      <c r="F15" s="63" t="inlineStr">
        <is>
          <t>Babu Biswas</t>
        </is>
      </c>
      <c r="G15" s="60" t="n">
        <v>1628939474</v>
      </c>
      <c r="H15" s="66" t="inlineStr">
        <is>
          <t>Bagerhat</t>
        </is>
      </c>
      <c r="I15" s="63" t="inlineStr">
        <is>
          <t>FMCG</t>
        </is>
      </c>
      <c r="J15" s="63" t="inlineStr">
        <is>
          <t>Health  Beauty</t>
        </is>
      </c>
      <c r="K15" s="62" t="n">
        <v>379</v>
      </c>
      <c r="L15" s="63" t="inlineStr">
        <is>
          <t>EWL vantage T9 Rechargeable professional trimmer</t>
        </is>
      </c>
      <c r="M15" s="76" t="inlineStr">
        <is>
          <t>Not Connected</t>
        </is>
      </c>
      <c r="N15" s="76" t="n"/>
      <c r="O15" s="76" t="n"/>
      <c r="P15" s="76" t="n"/>
      <c r="Q15" s="76" t="n"/>
      <c r="R15" s="76" t="n"/>
      <c r="S15" s="76" t="n"/>
      <c r="T15" s="76" t="n"/>
      <c r="U15" s="76" t="n"/>
      <c r="V15" s="76" t="n"/>
      <c r="W15" s="76" t="n"/>
      <c r="X15" s="76" t="n"/>
      <c r="Y15" s="76" t="n"/>
      <c r="Z15" s="76" t="n"/>
      <c r="AA15" s="79" t="n"/>
    </row>
    <row r="16">
      <c r="A16" s="77" t="n"/>
      <c r="B16" s="78" t="n">
        <v>25091683501822</v>
      </c>
      <c r="C16" s="58" t="n"/>
      <c r="D16" s="65" t="n"/>
      <c r="E16" s="62" t="n">
        <v>678598</v>
      </c>
      <c r="F16" s="63" t="inlineStr">
        <is>
          <t xml:space="preserve">Mr./Ms. </t>
        </is>
      </c>
      <c r="G16" s="60" t="n">
        <v>1840649579</v>
      </c>
      <c r="H16" s="66" t="inlineStr">
        <is>
          <t>Chattogram</t>
        </is>
      </c>
      <c r="I16" s="63" t="inlineStr">
        <is>
          <t>FMCG</t>
        </is>
      </c>
      <c r="J16" s="63" t="inlineStr">
        <is>
          <t>Health  Beauty</t>
        </is>
      </c>
      <c r="K16" s="62" t="n">
        <v>166</v>
      </c>
      <c r="L16" s="63" t="inlineStr">
        <is>
          <t>Lata Harbal BETTER Neem Soap(125gm)</t>
        </is>
      </c>
      <c r="M16" s="76" t="inlineStr">
        <is>
          <t>Not Connected</t>
        </is>
      </c>
      <c r="N16" s="76" t="n"/>
      <c r="O16" s="76" t="n"/>
      <c r="P16" s="76" t="inlineStr">
        <is>
          <t>Missing Item</t>
        </is>
      </c>
      <c r="Q16" s="76" t="n"/>
      <c r="R16" s="76" t="n"/>
      <c r="S16" s="76" t="n"/>
      <c r="T16" s="76" t="n"/>
      <c r="U16" s="76" t="n"/>
      <c r="V16" s="76" t="n"/>
      <c r="W16" s="76" t="n"/>
      <c r="X16" s="76" t="n"/>
      <c r="Y16" s="76" t="n"/>
      <c r="Z16" s="76" t="n"/>
      <c r="AA16" s="79" t="n"/>
    </row>
    <row r="17">
      <c r="A17" s="77" t="n"/>
      <c r="B17" s="78" t="n">
        <v>25091689364765</v>
      </c>
      <c r="C17" s="58" t="n"/>
      <c r="D17" s="65" t="n"/>
      <c r="E17" s="62" t="n">
        <v>642632</v>
      </c>
      <c r="F17" s="63" t="inlineStr">
        <is>
          <t>Amiya Barman</t>
        </is>
      </c>
      <c r="G17" s="60" t="n">
        <v>1727773727</v>
      </c>
      <c r="H17" s="61" t="inlineStr">
        <is>
          <t>Sylhet</t>
        </is>
      </c>
      <c r="I17" s="63" t="inlineStr">
        <is>
          <t>Electronics</t>
        </is>
      </c>
      <c r="J17" s="63" t="inlineStr">
        <is>
          <t>TV, Audio / Video, Gaming  Wearables</t>
        </is>
      </c>
      <c r="K17" s="62" t="n">
        <v>189</v>
      </c>
      <c r="L17" s="63" t="inlineStr">
        <is>
          <t>G01 Neck Sweat-proof Music Sports Game Earphone Wireless Bluetooth compatible 5.3 Headset Compatible For Android Universal</t>
        </is>
      </c>
      <c r="M17" s="76" t="inlineStr">
        <is>
          <t xml:space="preserve">Connected </t>
        </is>
      </c>
      <c r="N17" s="76" t="inlineStr">
        <is>
          <t>Yes</t>
        </is>
      </c>
      <c r="O17" s="76" t="inlineStr">
        <is>
          <t>Yes (on time)</t>
        </is>
      </c>
      <c r="P17" s="76" t="n"/>
      <c r="Q17" s="76" t="n"/>
      <c r="R17" s="76" t="inlineStr">
        <is>
          <t>Yes (timely call/SMS)</t>
        </is>
      </c>
      <c r="S17" s="76" t="inlineStr">
        <is>
          <t>Very polite and helpful</t>
        </is>
      </c>
      <c r="T17" s="76" t="inlineStr">
        <is>
          <t>Yes</t>
        </is>
      </c>
      <c r="U17" s="76" t="n"/>
      <c r="V17" s="76" t="n"/>
      <c r="W17" s="76" t="n">
        <v>5</v>
      </c>
      <c r="X17" s="76" t="n"/>
      <c r="Y17" s="76" t="n"/>
      <c r="Z17" s="76" t="inlineStr">
        <is>
          <t>Neutral</t>
        </is>
      </c>
      <c r="AA17" s="79" t="n"/>
    </row>
    <row r="18">
      <c r="A18" s="77" t="n"/>
      <c r="B18" s="78" t="n">
        <v>25091697404456</v>
      </c>
      <c r="C18" s="58" t="n"/>
      <c r="D18" s="65" t="n"/>
      <c r="E18" s="62" t="n">
        <v>664853</v>
      </c>
      <c r="F18" s="63" t="inlineStr">
        <is>
          <t>kamal Hossain</t>
        </is>
      </c>
      <c r="G18" s="60" t="n">
        <v>1919528022</v>
      </c>
      <c r="H18" s="61" t="inlineStr">
        <is>
          <t>Gazipur</t>
        </is>
      </c>
      <c r="I18" s="63" t="inlineStr">
        <is>
          <t>Lifestyle</t>
        </is>
      </c>
      <c r="J18" s="63" t="inlineStr">
        <is>
          <t>Motors</t>
        </is>
      </c>
      <c r="K18" s="62" t="n">
        <v>1593</v>
      </c>
      <c r="L18" s="63" t="inlineStr">
        <is>
          <t>HR Pneumatic Mini Die Grinder Kit 17 Piece with 10 Piece Mounted Point in Blow Molded Carry case Grinder Set|Tarboya Tools</t>
        </is>
      </c>
      <c r="M18" s="76" t="inlineStr">
        <is>
          <t xml:space="preserve">Connected </t>
        </is>
      </c>
      <c r="N18" s="76" t="inlineStr">
        <is>
          <t>Yes</t>
        </is>
      </c>
      <c r="O18" s="76" t="inlineStr">
        <is>
          <t>Yes (on time)</t>
        </is>
      </c>
      <c r="P18" s="76" t="n"/>
      <c r="Q18" s="76" t="n"/>
      <c r="R18" s="76" t="inlineStr">
        <is>
          <t>Contacted last moment</t>
        </is>
      </c>
      <c r="S18" s="76" t="inlineStr">
        <is>
          <t>Very polite and helpful</t>
        </is>
      </c>
      <c r="T18" s="76" t="inlineStr">
        <is>
          <t>Yes</t>
        </is>
      </c>
      <c r="U18" s="76" t="n"/>
      <c r="V18" s="76" t="n"/>
      <c r="W18" s="76" t="n">
        <v>10</v>
      </c>
      <c r="X18" s="76" t="n"/>
      <c r="Y18" s="76" t="n"/>
      <c r="Z18" s="76" t="inlineStr">
        <is>
          <t>Positive</t>
        </is>
      </c>
      <c r="AA18" s="79" t="n"/>
    </row>
    <row r="19">
      <c r="A19" s="77" t="n"/>
      <c r="B19" s="78" t="n">
        <v>25091697658184</v>
      </c>
      <c r="C19" s="58" t="n"/>
      <c r="D19" s="65" t="n"/>
      <c r="E19" s="62" t="n">
        <v>565711</v>
      </c>
      <c r="F19" s="63" t="inlineStr">
        <is>
          <t>Istiyak Ahmed rehan</t>
        </is>
      </c>
      <c r="G19" s="60" t="n">
        <v>1985246784</v>
      </c>
      <c r="H19" s="66" t="inlineStr">
        <is>
          <t>Sylhet</t>
        </is>
      </c>
      <c r="I19" s="63" t="inlineStr">
        <is>
          <t>Electronics</t>
        </is>
      </c>
      <c r="J19" s="63" t="inlineStr">
        <is>
          <t>Mobiles  Tablets</t>
        </is>
      </c>
      <c r="K19" s="62" t="n">
        <v>29</v>
      </c>
      <c r="L19" s="63" t="inlineStr">
        <is>
          <t>Multi-function Wall Mounted Organizer Holder, Storage Box, Remote Control, Mobile Phone Plug, Home 1 pcs</t>
        </is>
      </c>
      <c r="M19" s="76" t="inlineStr">
        <is>
          <t xml:space="preserve">Connected </t>
        </is>
      </c>
      <c r="N19" s="76" t="inlineStr">
        <is>
          <t>Yes</t>
        </is>
      </c>
      <c r="O19" s="76" t="inlineStr">
        <is>
          <t>Yes (on time)</t>
        </is>
      </c>
      <c r="P19" s="76" t="n"/>
      <c r="Q19" s="76" t="n"/>
      <c r="R19" s="76" t="inlineStr">
        <is>
          <t>Yes (timely call/SMS)</t>
        </is>
      </c>
      <c r="S19" s="76" t="inlineStr">
        <is>
          <t>Very polite and helpful</t>
        </is>
      </c>
      <c r="T19" s="76" t="inlineStr">
        <is>
          <t>Yes</t>
        </is>
      </c>
      <c r="U19" s="76" t="n"/>
      <c r="V19" s="76" t="n"/>
      <c r="W19" s="76" t="n">
        <v>7</v>
      </c>
      <c r="X19" s="76" t="n"/>
      <c r="Y19" s="76" t="n"/>
      <c r="Z19" s="76" t="inlineStr">
        <is>
          <t>Positive</t>
        </is>
      </c>
      <c r="AA19" s="79" t="n"/>
    </row>
    <row r="20">
      <c r="A20" s="77" t="n"/>
      <c r="B20" s="78" t="n">
        <v>25091713871873</v>
      </c>
      <c r="C20" s="58" t="n"/>
      <c r="D20" s="65" t="n"/>
      <c r="E20" s="62" t="n">
        <v>385571</v>
      </c>
      <c r="F20" s="63" t="inlineStr">
        <is>
          <t xml:space="preserve">Mr./Ms. </t>
        </is>
      </c>
      <c r="G20" s="60" t="n">
        <v>1930100600</v>
      </c>
      <c r="H20" s="61" t="inlineStr">
        <is>
          <t>Jhenidah</t>
        </is>
      </c>
      <c r="I20" s="63" t="inlineStr">
        <is>
          <t>Electronics</t>
        </is>
      </c>
      <c r="J20" s="63" t="inlineStr">
        <is>
          <t>TV, Audio / Video, Gaming  Wearables</t>
        </is>
      </c>
      <c r="K20" s="62" t="n">
        <v>1045</v>
      </c>
      <c r="L20" s="63" t="inlineStr">
        <is>
          <t>M10 TWS Wireless Earbuds</t>
        </is>
      </c>
      <c r="M20" s="76" t="inlineStr">
        <is>
          <t xml:space="preserve">Connected </t>
        </is>
      </c>
      <c r="N20" s="76" t="inlineStr">
        <is>
          <t>Yes</t>
        </is>
      </c>
      <c r="O20" s="76" t="inlineStr">
        <is>
          <t>Yes (on time)</t>
        </is>
      </c>
      <c r="P20" s="76" t="n"/>
      <c r="Q20" s="76" t="n"/>
      <c r="R20" s="76" t="inlineStr">
        <is>
          <t>Yes (timely call/SMS)</t>
        </is>
      </c>
      <c r="S20" s="76" t="inlineStr">
        <is>
          <t>Very polite and helpful</t>
        </is>
      </c>
      <c r="T20" s="76" t="inlineStr">
        <is>
          <t>Yes</t>
        </is>
      </c>
      <c r="U20" s="76" t="n"/>
      <c r="V20" s="76" t="n"/>
      <c r="W20" s="76" t="n">
        <v>1</v>
      </c>
      <c r="X20" s="76" t="n"/>
      <c r="Y20" s="76" t="n"/>
      <c r="Z20" s="76" t="inlineStr">
        <is>
          <t>Negative</t>
        </is>
      </c>
      <c r="AA20" s="79" t="n"/>
    </row>
    <row r="21">
      <c r="A21" s="77" t="n"/>
      <c r="B21" s="78" t="n">
        <v>25091748699205</v>
      </c>
      <c r="C21" s="58" t="n"/>
      <c r="D21" s="65" t="n"/>
      <c r="E21" s="62" t="n">
        <v>493674</v>
      </c>
      <c r="F21" s="63" t="inlineStr">
        <is>
          <t xml:space="preserve">Omar Omar </t>
        </is>
      </c>
      <c r="G21" s="60" t="n">
        <v>1615891683</v>
      </c>
      <c r="H21" s="61" t="inlineStr">
        <is>
          <t>Cox's Bazar</t>
        </is>
      </c>
      <c r="I21" s="63" t="inlineStr">
        <is>
          <t>Lifestyle</t>
        </is>
      </c>
      <c r="J21" s="63" t="inlineStr">
        <is>
          <t>Furniture  Decor</t>
        </is>
      </c>
      <c r="K21" s="62" t="n">
        <v>634</v>
      </c>
      <c r="L21" s="63" t="inlineStr">
        <is>
          <t>Rechargeable Light 20W Double Battery Ac/Dc Rechargeable Led Light -  20 Watt</t>
        </is>
      </c>
      <c r="M21" s="76" t="inlineStr">
        <is>
          <t>Not Connected</t>
        </is>
      </c>
      <c r="N21" s="76" t="n"/>
      <c r="O21" s="76" t="n"/>
      <c r="P21" s="76" t="n"/>
      <c r="Q21" s="76" t="n"/>
      <c r="R21" s="76" t="n"/>
      <c r="S21" s="76" t="n"/>
      <c r="T21" s="76" t="n"/>
      <c r="U21" s="76" t="n"/>
      <c r="V21" s="76" t="n"/>
      <c r="W21" s="76" t="n"/>
      <c r="X21" s="76" t="n"/>
      <c r="Y21" s="76" t="n"/>
      <c r="Z21" s="76" t="n"/>
      <c r="AA21" s="79" t="n"/>
    </row>
    <row r="22">
      <c r="A22" s="77" t="n"/>
      <c r="B22" s="78" t="n">
        <v>25091751172434</v>
      </c>
      <c r="C22" s="58" t="n"/>
      <c r="D22" s="65" t="n"/>
      <c r="E22" s="62" t="n">
        <v>697549</v>
      </c>
      <c r="F22" s="63" t="inlineStr">
        <is>
          <t>Md Arfat Rahman</t>
        </is>
      </c>
      <c r="G22" s="60" t="n">
        <v>1850903502</v>
      </c>
      <c r="H22" s="66" t="inlineStr">
        <is>
          <t>Chattogram</t>
        </is>
      </c>
      <c r="I22" s="63" t="inlineStr">
        <is>
          <t>FMCG</t>
        </is>
      </c>
      <c r="J22" s="63" t="inlineStr">
        <is>
          <t>Health  Beauty</t>
        </is>
      </c>
      <c r="K22" s="62" t="n">
        <v>1598</v>
      </c>
      <c r="L22" s="63" t="inlineStr">
        <is>
          <t>Kirkland Minoxidil 5% For Beard &amp; Hair Growth</t>
        </is>
      </c>
      <c r="M22" s="76" t="inlineStr">
        <is>
          <t>Not Connected</t>
        </is>
      </c>
      <c r="N22" s="76" t="n"/>
      <c r="O22" s="76" t="n"/>
      <c r="P22" s="76" t="inlineStr">
        <is>
          <t>Missing Item</t>
        </is>
      </c>
      <c r="Q22" s="76" t="n"/>
      <c r="R22" s="76" t="n"/>
      <c r="S22" s="76" t="n"/>
      <c r="T22" s="76" t="n"/>
      <c r="U22" s="76" t="n"/>
      <c r="V22" s="76" t="n"/>
      <c r="W22" s="76" t="n"/>
      <c r="X22" s="76" t="n"/>
      <c r="Y22" s="76" t="n"/>
      <c r="Z22" s="76" t="n"/>
      <c r="AA22" s="79" t="n"/>
    </row>
    <row r="23">
      <c r="A23" s="77" t="n"/>
      <c r="B23" s="78" t="n">
        <v>25091771268348</v>
      </c>
      <c r="C23" s="58" t="n"/>
      <c r="D23" s="65" t="n"/>
      <c r="E23" s="62" t="n">
        <v>694770</v>
      </c>
      <c r="F23" s="63" t="inlineStr">
        <is>
          <t xml:space="preserve">Pubg Uc </t>
        </is>
      </c>
      <c r="G23" s="60" t="n">
        <v>1880880863</v>
      </c>
      <c r="H23" s="61" t="inlineStr">
        <is>
          <t>Brahman Baria</t>
        </is>
      </c>
      <c r="I23" s="63" t="inlineStr">
        <is>
          <t>Lifestyle</t>
        </is>
      </c>
      <c r="J23" s="63" t="inlineStr">
        <is>
          <t>Tools, DIY  Outdoor</t>
        </is>
      </c>
      <c r="K23" s="62" t="n">
        <v>349</v>
      </c>
      <c r="L23" s="63" t="inlineStr">
        <is>
          <t>DC brushless motor fan four blade transparent blowing cooling fan DC 12V 6 inche wing</t>
        </is>
      </c>
      <c r="M23" s="76" t="inlineStr">
        <is>
          <t xml:space="preserve">Connected </t>
        </is>
      </c>
      <c r="N23" s="76" t="inlineStr">
        <is>
          <t>Yes</t>
        </is>
      </c>
      <c r="O23" s="76" t="inlineStr">
        <is>
          <t>Yes (on time)</t>
        </is>
      </c>
      <c r="P23" s="76" t="n"/>
      <c r="Q23" s="76" t="n"/>
      <c r="R23" s="76" t="inlineStr">
        <is>
          <t>Yes (timely call/SMS)</t>
        </is>
      </c>
      <c r="S23" s="76" t="inlineStr">
        <is>
          <t>Very polite and helpful</t>
        </is>
      </c>
      <c r="T23" s="76" t="inlineStr">
        <is>
          <t>Yes</t>
        </is>
      </c>
      <c r="U23" s="76" t="n"/>
      <c r="V23" s="76" t="n"/>
      <c r="W23" s="76" t="n">
        <v>10</v>
      </c>
      <c r="X23" s="76" t="n"/>
      <c r="Y23" s="76" t="n"/>
      <c r="Z23" s="76" t="inlineStr">
        <is>
          <t>Positive</t>
        </is>
      </c>
      <c r="AA23" s="79" t="n"/>
    </row>
    <row r="24">
      <c r="A24" s="77" t="n"/>
      <c r="B24" s="78" t="n">
        <v>25091813465981</v>
      </c>
      <c r="C24" s="58" t="n"/>
      <c r="D24" s="65" t="n"/>
      <c r="E24" s="62" t="n">
        <v>697008</v>
      </c>
      <c r="F24" s="63" t="inlineStr">
        <is>
          <t xml:space="preserve">Rayhan Ahmed </t>
        </is>
      </c>
      <c r="G24" s="60" t="n">
        <v>1712303851</v>
      </c>
      <c r="H24" s="66" t="inlineStr">
        <is>
          <t>Moulvibazar</t>
        </is>
      </c>
      <c r="I24" s="63" t="inlineStr">
        <is>
          <t>Electronics</t>
        </is>
      </c>
      <c r="J24" s="63" t="inlineStr">
        <is>
          <t>TV, Audio / Video, Gaming  Wearables</t>
        </is>
      </c>
      <c r="K24" s="62" t="n">
        <v>504</v>
      </c>
      <c r="L24" s="63" t="inlineStr">
        <is>
          <t>BOYA BY M1 Microphone Boya Professional Microphone For Mobile &amp; Dslr - Black</t>
        </is>
      </c>
      <c r="M24" s="76" t="inlineStr">
        <is>
          <t>Not Connected</t>
        </is>
      </c>
      <c r="N24" s="76" t="n"/>
      <c r="O24" s="76" t="n"/>
      <c r="P24" s="76" t="n"/>
      <c r="Q24" s="76" t="n"/>
      <c r="R24" s="76" t="n"/>
      <c r="S24" s="76" t="n"/>
      <c r="T24" s="76" t="n"/>
      <c r="U24" s="76" t="n"/>
      <c r="V24" s="76" t="n"/>
      <c r="W24" s="76" t="n"/>
      <c r="X24" s="76" t="n"/>
      <c r="Y24" s="76" t="n"/>
      <c r="Z24" s="76" t="n"/>
      <c r="AA24" s="79" t="n"/>
    </row>
    <row r="25">
      <c r="A25" s="77" t="n"/>
      <c r="B25" s="78" t="n">
        <v>25091835204918</v>
      </c>
      <c r="C25" s="58" t="n"/>
      <c r="D25" s="65" t="n"/>
      <c r="E25" s="62" t="n">
        <v>698693</v>
      </c>
      <c r="F25" s="63" t="inlineStr">
        <is>
          <t>MD Tamim Bhuiyan</t>
        </is>
      </c>
      <c r="G25" s="60" t="n">
        <v>1997741207</v>
      </c>
      <c r="H25" s="66" t="inlineStr">
        <is>
          <t>Munsiganj</t>
        </is>
      </c>
      <c r="I25" s="63" t="inlineStr">
        <is>
          <t>FMCG</t>
        </is>
      </c>
      <c r="J25" s="63" t="inlineStr">
        <is>
          <t>Health  Beauty</t>
        </is>
      </c>
      <c r="K25" s="62" t="n">
        <v>207</v>
      </c>
      <c r="L25" s="63" t="inlineStr">
        <is>
          <t>Studio X Clean &amp; Fresh Soap for Men 125gm</t>
        </is>
      </c>
      <c r="M25" s="76" t="inlineStr">
        <is>
          <t xml:space="preserve">Connected </t>
        </is>
      </c>
      <c r="N25" s="76" t="inlineStr">
        <is>
          <t>Yes</t>
        </is>
      </c>
      <c r="O25" s="76" t="inlineStr">
        <is>
          <t>Yes (on time)</t>
        </is>
      </c>
      <c r="P25" s="76" t="n"/>
      <c r="Q25" s="76" t="n"/>
      <c r="R25" s="76" t="inlineStr">
        <is>
          <t>Yes (timely call/SMS)</t>
        </is>
      </c>
      <c r="S25" s="76" t="inlineStr">
        <is>
          <t>Very polite and helpful</t>
        </is>
      </c>
      <c r="T25" s="76" t="inlineStr">
        <is>
          <t>Yes</t>
        </is>
      </c>
      <c r="U25" s="76" t="n"/>
      <c r="V25" s="76" t="n"/>
      <c r="W25" s="76" t="n">
        <v>10</v>
      </c>
      <c r="X25" s="76" t="n"/>
      <c r="Y25" s="76" t="n"/>
      <c r="Z25" s="76" t="inlineStr">
        <is>
          <t>Positive</t>
        </is>
      </c>
      <c r="AA25" s="79" t="n"/>
    </row>
    <row r="26">
      <c r="A26" s="77" t="n"/>
      <c r="B26" s="78" t="n">
        <v>25091777002566</v>
      </c>
      <c r="C26" s="58" t="n"/>
      <c r="D26" s="65" t="n"/>
      <c r="E26" s="62" t="n">
        <v>672146</v>
      </c>
      <c r="F26" s="63" t="inlineStr">
        <is>
          <t>Rasel Deshi</t>
        </is>
      </c>
      <c r="G26" s="60" t="n">
        <v>1857755123</v>
      </c>
      <c r="H26" s="66" t="inlineStr">
        <is>
          <t>Brahman Baria</t>
        </is>
      </c>
      <c r="I26" s="63" t="inlineStr">
        <is>
          <t>Lifestyle</t>
        </is>
      </c>
      <c r="J26" s="63" t="inlineStr">
        <is>
          <t>Tools, DIY  Outdoor</t>
        </is>
      </c>
      <c r="K26" s="62" t="n">
        <v>2990</v>
      </c>
      <c r="L26" s="63" t="inlineStr">
        <is>
          <t>Hammer Drill Machines 20/22 mm Boray Original</t>
        </is>
      </c>
      <c r="M26" s="76" t="inlineStr">
        <is>
          <t xml:space="preserve">Connected </t>
        </is>
      </c>
      <c r="N26" s="76" t="inlineStr">
        <is>
          <t>Yes</t>
        </is>
      </c>
      <c r="O26" s="76" t="inlineStr">
        <is>
          <t>Yes (on time)</t>
        </is>
      </c>
      <c r="P26" s="76" t="n"/>
      <c r="Q26" s="76" t="n"/>
      <c r="R26" s="76" t="inlineStr">
        <is>
          <t>Yes (timely call/SMS)</t>
        </is>
      </c>
      <c r="S26" s="76" t="inlineStr">
        <is>
          <t>Very polite and helpful</t>
        </is>
      </c>
      <c r="T26" s="76" t="inlineStr">
        <is>
          <t>Yes</t>
        </is>
      </c>
      <c r="U26" s="76" t="n"/>
      <c r="V26" s="76" t="n"/>
      <c r="W26" s="76" t="n">
        <v>8</v>
      </c>
      <c r="X26" s="76" t="n"/>
      <c r="Y26" s="76" t="n"/>
      <c r="Z26" s="76" t="inlineStr">
        <is>
          <t>Positive</t>
        </is>
      </c>
      <c r="AA26" s="79" t="n"/>
    </row>
    <row r="27">
      <c r="A27" s="77" t="n"/>
      <c r="B27" s="78" t="n">
        <v>25091849836755</v>
      </c>
      <c r="C27" s="58" t="n"/>
      <c r="D27" s="65" t="n"/>
      <c r="E27" s="62" t="n">
        <v>471245</v>
      </c>
      <c r="F27" s="63" t="inlineStr">
        <is>
          <t>Azadur Rahman Azad</t>
        </is>
      </c>
      <c r="G27" s="60" t="n">
        <v>1710584517</v>
      </c>
      <c r="H27" s="61" t="inlineStr">
        <is>
          <t>Tangail</t>
        </is>
      </c>
      <c r="I27" s="63" t="inlineStr">
        <is>
          <t>Electronics</t>
        </is>
      </c>
      <c r="J27" s="63" t="inlineStr">
        <is>
          <t>Mobiles  Tablets</t>
        </is>
      </c>
      <c r="K27" s="62" t="n">
        <v>94</v>
      </c>
      <c r="L27" s="63" t="inlineStr">
        <is>
          <t>3Pcs Glass For Samsung Galaxy A52 Screen Protector Full Water Color Transparent Tempered Glass</t>
        </is>
      </c>
      <c r="M27" s="76" t="inlineStr">
        <is>
          <t xml:space="preserve">Connected </t>
        </is>
      </c>
      <c r="N27" s="76" t="inlineStr">
        <is>
          <t>Yes</t>
        </is>
      </c>
      <c r="O27" s="76" t="inlineStr">
        <is>
          <t>Yes (on time)</t>
        </is>
      </c>
      <c r="P27" s="76" t="n"/>
      <c r="Q27" s="76" t="n"/>
      <c r="R27" s="76" t="inlineStr">
        <is>
          <t>Yes (timely call/SMS)</t>
        </is>
      </c>
      <c r="S27" s="76" t="inlineStr">
        <is>
          <t>Very polite and helpful</t>
        </is>
      </c>
      <c r="T27" s="76" t="inlineStr">
        <is>
          <t>Yes</t>
        </is>
      </c>
      <c r="U27" s="76" t="n"/>
      <c r="V27" s="76" t="n"/>
      <c r="W27" s="76" t="n">
        <v>10</v>
      </c>
      <c r="X27" s="76" t="n"/>
      <c r="Y27" s="76" t="n"/>
      <c r="Z27" s="76" t="inlineStr">
        <is>
          <t>Positive</t>
        </is>
      </c>
      <c r="AA27" s="79" t="n"/>
    </row>
    <row r="28">
      <c r="A28" s="77" t="n"/>
      <c r="B28" s="78" t="n">
        <v>25091853104143</v>
      </c>
      <c r="C28" s="58" t="n"/>
      <c r="D28" s="65" t="n"/>
      <c r="E28" s="62" t="n">
        <v>340930</v>
      </c>
      <c r="F28" s="63" t="inlineStr">
        <is>
          <t xml:space="preserve">Roton Ali </t>
        </is>
      </c>
      <c r="G28" s="60" t="n">
        <v>1303409089</v>
      </c>
      <c r="H28" s="66" t="inlineStr">
        <is>
          <t>Natore</t>
        </is>
      </c>
      <c r="I28" s="63" t="inlineStr">
        <is>
          <t>Lifestyle</t>
        </is>
      </c>
      <c r="J28" s="63" t="inlineStr">
        <is>
          <t>Kitchen  Dining</t>
        </is>
      </c>
      <c r="K28" s="62" t="n">
        <v>118</v>
      </c>
      <c r="L28" s="63" t="inlineStr">
        <is>
          <t>Mat Refrigerator mat table mat Waterproof Washable Nonslip Clear Plastic Eva Kitchen Drawer Mats Shelf Liner - Multicolor One Piece</t>
        </is>
      </c>
      <c r="M28" s="76" t="inlineStr">
        <is>
          <t xml:space="preserve">Connected </t>
        </is>
      </c>
      <c r="N28" s="76" t="inlineStr">
        <is>
          <t>Yes</t>
        </is>
      </c>
      <c r="O28" s="76" t="inlineStr">
        <is>
          <t>Yes (on time)</t>
        </is>
      </c>
      <c r="P28" s="76" t="n"/>
      <c r="Q28" s="76" t="n"/>
      <c r="R28" s="76" t="inlineStr">
        <is>
          <t>Yes (timely call/SMS)</t>
        </is>
      </c>
      <c r="S28" s="76" t="inlineStr">
        <is>
          <t>Very polite and helpful</t>
        </is>
      </c>
      <c r="T28" s="76" t="inlineStr">
        <is>
          <t>Yes</t>
        </is>
      </c>
      <c r="U28" s="76" t="n"/>
      <c r="V28" s="76" t="n"/>
      <c r="W28" s="76" t="n">
        <v>10</v>
      </c>
      <c r="X28" s="76" t="n"/>
      <c r="Y28" s="76" t="n"/>
      <c r="Z28" s="76" t="inlineStr">
        <is>
          <t>Positive</t>
        </is>
      </c>
      <c r="AA28" s="79" t="n"/>
    </row>
    <row r="29">
      <c r="A29" s="77" t="n"/>
      <c r="B29" s="78" t="n">
        <v>25091859503039</v>
      </c>
      <c r="C29" s="58" t="n"/>
      <c r="D29" s="65" t="n"/>
      <c r="E29" s="62" t="n">
        <v>171036</v>
      </c>
      <c r="F29" s="63" t="inlineStr">
        <is>
          <t>Siyam Khan Khan</t>
        </is>
      </c>
      <c r="G29" s="60" t="n">
        <v>1706954787</v>
      </c>
      <c r="H29" s="66" t="inlineStr">
        <is>
          <t>Faridpur</t>
        </is>
      </c>
      <c r="I29" s="63" t="inlineStr">
        <is>
          <t>Lifestyle</t>
        </is>
      </c>
      <c r="J29" s="63" t="inlineStr">
        <is>
          <t>Kitchen  Dining</t>
        </is>
      </c>
      <c r="K29" s="62" t="n">
        <v>480</v>
      </c>
      <c r="L29" s="63" t="inlineStr">
        <is>
          <t>First Deal Best Quality Digital Scale 10kg 1g Household Weight Scales Platform Electronic Balance Kitchen scale Baking Measure Food Cooking Tools</t>
        </is>
      </c>
      <c r="M29" s="76" t="inlineStr">
        <is>
          <t xml:space="preserve">Connected </t>
        </is>
      </c>
      <c r="N29" s="76" t="inlineStr">
        <is>
          <t>Yes</t>
        </is>
      </c>
      <c r="O29" s="76" t="inlineStr">
        <is>
          <t>Slightly late</t>
        </is>
      </c>
      <c r="P29" s="76" t="n"/>
      <c r="Q29" s="76" t="n"/>
      <c r="R29" s="76" t="inlineStr">
        <is>
          <t>Yes (timely call/SMS)</t>
        </is>
      </c>
      <c r="S29" s="76" t="inlineStr">
        <is>
          <t>Very polite and helpful</t>
        </is>
      </c>
      <c r="T29" s="76" t="inlineStr">
        <is>
          <t>Yes</t>
        </is>
      </c>
      <c r="U29" s="76" t="n"/>
      <c r="V29" s="76" t="n"/>
      <c r="W29" s="76" t="n">
        <v>7</v>
      </c>
      <c r="X29" s="76" t="n"/>
      <c r="Y29" s="76" t="n"/>
      <c r="Z29" s="76" t="inlineStr">
        <is>
          <t>Neutral</t>
        </is>
      </c>
      <c r="AA29" s="79" t="n"/>
    </row>
    <row r="30">
      <c r="A30" s="77" t="n"/>
      <c r="B30" s="78" t="n">
        <v>25091875062859</v>
      </c>
      <c r="C30" s="58" t="n"/>
      <c r="D30" s="65" t="n"/>
      <c r="E30" s="62" t="n">
        <v>700597</v>
      </c>
      <c r="F30" s="63" t="inlineStr">
        <is>
          <t xml:space="preserve">Tufayel Ahmed </t>
        </is>
      </c>
      <c r="G30" s="60" t="n">
        <v>1678626269</v>
      </c>
      <c r="H30" s="66" t="inlineStr">
        <is>
          <t>Moulvibazar</t>
        </is>
      </c>
      <c r="I30" s="63" t="inlineStr">
        <is>
          <t>Electronics</t>
        </is>
      </c>
      <c r="J30" s="63" t="inlineStr">
        <is>
          <t>Computers  Laptops</t>
        </is>
      </c>
      <c r="K30" s="62" t="n">
        <v>1017</v>
      </c>
      <c r="L30" s="63" t="inlineStr">
        <is>
          <t>Lexar JumpDrive V400 128GB USB 3.0 Pen Drive with 256-bit AES Encryption - PC/Mac Compatible - Compact, stylish, and portable design</t>
        </is>
      </c>
      <c r="M30" s="76" t="inlineStr">
        <is>
          <t>Not Connected</t>
        </is>
      </c>
      <c r="N30" s="76" t="n"/>
      <c r="O30" s="76" t="n"/>
      <c r="P30" s="76" t="n"/>
      <c r="Q30" s="76" t="n"/>
      <c r="R30" s="76" t="n"/>
      <c r="S30" s="76" t="n"/>
      <c r="T30" s="76" t="n"/>
      <c r="U30" s="76" t="n"/>
      <c r="V30" s="76" t="n"/>
      <c r="W30" s="76" t="n"/>
      <c r="X30" s="76" t="n"/>
      <c r="Y30" s="76" t="n"/>
      <c r="Z30" s="76" t="n"/>
      <c r="AA30" s="79" t="n"/>
    </row>
    <row r="31">
      <c r="A31" s="77" t="n"/>
      <c r="B31" s="78" t="n">
        <v>25091954207699</v>
      </c>
      <c r="C31" s="58" t="n"/>
      <c r="D31" s="65" t="n"/>
      <c r="E31" s="62" t="n">
        <v>88688</v>
      </c>
      <c r="F31" s="63" t="inlineStr">
        <is>
          <t xml:space="preserve">M Mj </t>
        </is>
      </c>
      <c r="G31" s="60" t="n">
        <v>1752090598</v>
      </c>
      <c r="H31" s="61" t="inlineStr">
        <is>
          <t>Sylhet</t>
        </is>
      </c>
      <c r="I31" s="63" t="inlineStr">
        <is>
          <t>FMCG</t>
        </is>
      </c>
      <c r="J31" s="63" t="inlineStr">
        <is>
          <t>Health  Beauty</t>
        </is>
      </c>
      <c r="K31" s="62" t="n">
        <v>155</v>
      </c>
      <c r="L31" s="63" t="inlineStr">
        <is>
          <t>Parachute Hair Oil Advansed Enriched Coconut 275ml</t>
        </is>
      </c>
      <c r="M31" s="76" t="inlineStr">
        <is>
          <t xml:space="preserve">Connected </t>
        </is>
      </c>
      <c r="N31" s="76" t="inlineStr">
        <is>
          <t>Yes</t>
        </is>
      </c>
      <c r="O31" s="76" t="inlineStr">
        <is>
          <t>Yes (on time)</t>
        </is>
      </c>
      <c r="P31" s="76" t="n"/>
      <c r="Q31" s="76" t="n"/>
      <c r="R31" s="76" t="inlineStr">
        <is>
          <t>Yes (timely call/SMS)</t>
        </is>
      </c>
      <c r="S31" s="76" t="inlineStr">
        <is>
          <t>Very polite and helpful</t>
        </is>
      </c>
      <c r="T31" s="76" t="inlineStr">
        <is>
          <t>Yes</t>
        </is>
      </c>
      <c r="U31" s="76" t="n"/>
      <c r="V31" s="76" t="n"/>
      <c r="W31" s="76" t="n">
        <v>8</v>
      </c>
      <c r="X31" s="76" t="n"/>
      <c r="Y31" s="76" t="n"/>
      <c r="Z31" s="76" t="inlineStr">
        <is>
          <t>Positive</t>
        </is>
      </c>
      <c r="AA31" s="79" t="n"/>
    </row>
    <row r="32">
      <c r="A32" s="77" t="n"/>
      <c r="B32" s="78" t="n">
        <v>25091962146923</v>
      </c>
      <c r="C32" s="58" t="n"/>
      <c r="D32" s="65" t="n"/>
      <c r="E32" s="62" t="n">
        <v>172083</v>
      </c>
      <c r="F32" s="63" t="inlineStr">
        <is>
          <t xml:space="preserve">Mr./Ms. </t>
        </is>
      </c>
      <c r="G32" s="60" t="n">
        <v>1633152441</v>
      </c>
      <c r="H32" s="61" t="inlineStr">
        <is>
          <t>Barguna</t>
        </is>
      </c>
      <c r="I32" s="63" t="inlineStr">
        <is>
          <t>Fashion</t>
        </is>
      </c>
      <c r="J32" s="63" t="inlineStr">
        <is>
          <t>Bags and Travel</t>
        </is>
      </c>
      <c r="K32" s="62" t="n">
        <v>378</v>
      </c>
      <c r="L32" s="63" t="inlineStr">
        <is>
          <t>Leather Passport Cover Holder - Black</t>
        </is>
      </c>
      <c r="M32" s="76" t="inlineStr">
        <is>
          <t>Not Connected</t>
        </is>
      </c>
      <c r="N32" s="76" t="n"/>
      <c r="O32" s="76" t="n"/>
      <c r="P32" s="76" t="n"/>
      <c r="Q32" s="76" t="n"/>
      <c r="R32" s="76" t="n"/>
      <c r="S32" s="76" t="n"/>
      <c r="T32" s="76" t="n"/>
      <c r="U32" s="76" t="n"/>
      <c r="V32" s="76" t="n"/>
      <c r="W32" s="76" t="n"/>
      <c r="X32" s="76" t="n"/>
      <c r="Y32" s="76" t="n"/>
      <c r="Z32" s="76" t="n"/>
      <c r="AA32" s="79" t="n"/>
    </row>
    <row r="33">
      <c r="A33" s="77" t="n"/>
      <c r="B33" s="78" t="n">
        <v>25091967577327</v>
      </c>
      <c r="C33" s="58" t="n"/>
      <c r="D33" s="65" t="n"/>
      <c r="E33" s="62" t="n">
        <v>700841</v>
      </c>
      <c r="F33" s="63" t="inlineStr">
        <is>
          <t xml:space="preserve">Mr./Ms. </t>
        </is>
      </c>
      <c r="G33" s="60" t="n">
        <v>1581687786</v>
      </c>
      <c r="H33" s="66" t="inlineStr">
        <is>
          <t>Tangail</t>
        </is>
      </c>
      <c r="I33" s="63" t="inlineStr">
        <is>
          <t>Electronics</t>
        </is>
      </c>
      <c r="J33" s="63" t="inlineStr">
        <is>
          <t>Computers  Laptops</t>
        </is>
      </c>
      <c r="K33" s="62" t="n">
        <v>35</v>
      </c>
      <c r="L33" s="63" t="inlineStr">
        <is>
          <t>Office Mouse Pad - Multicolor</t>
        </is>
      </c>
      <c r="M33" s="76" t="inlineStr">
        <is>
          <t xml:space="preserve">Connected </t>
        </is>
      </c>
      <c r="N33" s="76" t="inlineStr">
        <is>
          <t>Yes</t>
        </is>
      </c>
      <c r="O33" s="76" t="inlineStr">
        <is>
          <t>Yes (on time)</t>
        </is>
      </c>
      <c r="P33" s="76" t="n"/>
      <c r="Q33" s="76" t="n"/>
      <c r="R33" s="76" t="inlineStr">
        <is>
          <t>Yes (timely call/SMS)</t>
        </is>
      </c>
      <c r="S33" s="76" t="inlineStr">
        <is>
          <t>Very polite and helpful</t>
        </is>
      </c>
      <c r="T33" s="76" t="inlineStr">
        <is>
          <t>Didn't check</t>
        </is>
      </c>
      <c r="U33" s="76" t="n"/>
      <c r="V33" s="76" t="n"/>
      <c r="W33" s="76" t="n">
        <v>8</v>
      </c>
      <c r="X33" s="76" t="n"/>
      <c r="Y33" s="76" t="n"/>
      <c r="Z33" s="76" t="inlineStr">
        <is>
          <t>Positive</t>
        </is>
      </c>
      <c r="AA33" s="79" t="n"/>
    </row>
    <row r="34">
      <c r="A34" s="77" t="n"/>
      <c r="B34" s="78" t="n">
        <v>25091987058225</v>
      </c>
      <c r="C34" s="58" t="n"/>
      <c r="D34" s="65" t="n"/>
      <c r="E34" s="62" t="n">
        <v>701555</v>
      </c>
      <c r="F34" s="63" t="inlineStr">
        <is>
          <t xml:space="preserve">MD SOJIB TELECOM </t>
        </is>
      </c>
      <c r="G34" s="60" t="n">
        <v>1705586090</v>
      </c>
      <c r="H34" s="61" t="inlineStr">
        <is>
          <t>Patuakhali</t>
        </is>
      </c>
      <c r="I34" s="63" t="inlineStr">
        <is>
          <t>Electronics</t>
        </is>
      </c>
      <c r="J34" s="63" t="inlineStr">
        <is>
          <t>Cameras</t>
        </is>
      </c>
      <c r="K34" s="62" t="n">
        <v>200</v>
      </c>
      <c r="L34" s="63" t="inlineStr">
        <is>
          <t>Universal Clip-on Lens - Black</t>
        </is>
      </c>
      <c r="M34" s="76" t="inlineStr">
        <is>
          <t>Not Connected</t>
        </is>
      </c>
      <c r="N34" s="76" t="n"/>
      <c r="O34" s="76" t="n"/>
      <c r="P34" s="76" t="n"/>
      <c r="Q34" s="76" t="n"/>
      <c r="R34" s="76" t="n"/>
      <c r="S34" s="76" t="n"/>
      <c r="T34" s="76" t="n"/>
      <c r="U34" s="76" t="n"/>
      <c r="V34" s="76" t="n"/>
      <c r="W34" s="76" t="n"/>
      <c r="X34" s="76" t="n"/>
      <c r="Y34" s="76" t="n"/>
      <c r="Z34" s="76" t="n"/>
      <c r="AA34" s="79" t="n"/>
    </row>
    <row r="35">
      <c r="A35" s="77" t="n"/>
      <c r="B35" s="78" t="n">
        <v>25091981444211</v>
      </c>
      <c r="C35" s="58" t="n"/>
      <c r="D35" s="65" t="n"/>
      <c r="E35" s="62" t="n">
        <v>617065</v>
      </c>
      <c r="F35" s="63" t="inlineStr">
        <is>
          <t xml:space="preserve">Mr./Ms. </t>
        </is>
      </c>
      <c r="G35" s="60" t="n">
        <v>1907289900</v>
      </c>
      <c r="H35" s="66" t="inlineStr">
        <is>
          <t>Barguna</t>
        </is>
      </c>
      <c r="I35" s="63" t="inlineStr">
        <is>
          <t>Fashion</t>
        </is>
      </c>
      <c r="J35" s="63" t="inlineStr">
        <is>
          <t>Watches Sunglasses Jewellery</t>
        </is>
      </c>
      <c r="K35" s="62" t="n">
        <v>36</v>
      </c>
      <c r="L35" s="63" t="inlineStr">
        <is>
          <t>40 pieces Hijab Pin/Brooches For Women</t>
        </is>
      </c>
      <c r="M35" s="76" t="inlineStr">
        <is>
          <t>Not Connected</t>
        </is>
      </c>
      <c r="N35" s="76" t="n"/>
      <c r="O35" s="76" t="n"/>
      <c r="P35" s="76" t="n"/>
      <c r="Q35" s="76" t="n"/>
      <c r="R35" s="76" t="n"/>
      <c r="S35" s="76" t="n"/>
      <c r="T35" s="76" t="n"/>
      <c r="U35" s="76" t="n"/>
      <c r="V35" s="76" t="n"/>
      <c r="W35" s="76" t="n"/>
      <c r="X35" s="76" t="n"/>
      <c r="Y35" s="76" t="n"/>
      <c r="Z35" s="76" t="n"/>
      <c r="AA35" s="79" t="n"/>
    </row>
    <row r="36">
      <c r="A36" s="77" t="n"/>
      <c r="B36" s="78" t="n">
        <v>25091977229894</v>
      </c>
      <c r="C36" s="58" t="n"/>
      <c r="D36" s="65" t="n"/>
      <c r="E36" s="62" t="n">
        <v>664032</v>
      </c>
      <c r="F36" s="63" t="inlineStr">
        <is>
          <t xml:space="preserve">Mr./Ms. </t>
        </is>
      </c>
      <c r="G36" s="60" t="n">
        <v>1647737783</v>
      </c>
      <c r="H36" s="61" t="inlineStr">
        <is>
          <t>Khulna</t>
        </is>
      </c>
      <c r="I36" s="63" t="inlineStr">
        <is>
          <t>Electronics</t>
        </is>
      </c>
      <c r="J36" s="63" t="inlineStr">
        <is>
          <t>Mobiles  Tablets</t>
        </is>
      </c>
      <c r="K36" s="62" t="n">
        <v>95</v>
      </c>
      <c r="L36" s="63" t="inlineStr">
        <is>
          <t>Infinix Note 8I Shockproof Transparent Pc Tpu Bumper Case</t>
        </is>
      </c>
      <c r="M36" s="76" t="inlineStr">
        <is>
          <t xml:space="preserve">Connected </t>
        </is>
      </c>
      <c r="N36" s="76" t="inlineStr">
        <is>
          <t>Yes</t>
        </is>
      </c>
      <c r="O36" s="76" t="inlineStr">
        <is>
          <t>Yes (on time)</t>
        </is>
      </c>
      <c r="P36" s="76" t="n"/>
      <c r="Q36" s="76" t="n"/>
      <c r="R36" s="76" t="inlineStr">
        <is>
          <t>Yes (timely call/SMS)</t>
        </is>
      </c>
      <c r="S36" s="76" t="inlineStr">
        <is>
          <t>Very polite and helpful</t>
        </is>
      </c>
      <c r="T36" s="76" t="inlineStr">
        <is>
          <t>Yes</t>
        </is>
      </c>
      <c r="U36" s="76" t="n"/>
      <c r="V36" s="76" t="n"/>
      <c r="W36" s="76" t="n">
        <v>10</v>
      </c>
      <c r="X36" s="76" t="n"/>
      <c r="Y36" s="76" t="n"/>
      <c r="Z36" s="76" t="inlineStr">
        <is>
          <t>Positive</t>
        </is>
      </c>
      <c r="AA36" s="79" t="n"/>
    </row>
    <row r="37">
      <c r="A37" s="77" t="n"/>
      <c r="B37" s="78" t="n">
        <v>25091992877363</v>
      </c>
      <c r="C37" s="58" t="n"/>
      <c r="D37" s="65" t="n"/>
      <c r="E37" s="62" t="n">
        <v>613332</v>
      </c>
      <c r="F37" s="63" t="inlineStr">
        <is>
          <t xml:space="preserve">Mr./Ms. </t>
        </is>
      </c>
      <c r="G37" s="60" t="n">
        <v>1979042743</v>
      </c>
      <c r="H37" s="66" t="inlineStr">
        <is>
          <t>Khulna</t>
        </is>
      </c>
      <c r="I37" s="63" t="inlineStr">
        <is>
          <t>Electronics</t>
        </is>
      </c>
      <c r="J37" s="63" t="inlineStr">
        <is>
          <t>Cameras</t>
        </is>
      </c>
      <c r="K37" s="62" t="n">
        <v>900</v>
      </c>
      <c r="L37" s="63" t="inlineStr">
        <is>
          <t>Canon Lp-E8 Battery Pack For Canon 550D, 600D, 650D, 700D Dslr Camera</t>
        </is>
      </c>
      <c r="M37" s="76" t="inlineStr">
        <is>
          <t xml:space="preserve">Connected </t>
        </is>
      </c>
      <c r="N37" s="76" t="inlineStr">
        <is>
          <t>Yes</t>
        </is>
      </c>
      <c r="O37" s="76" t="inlineStr">
        <is>
          <t>Yes (on time)</t>
        </is>
      </c>
      <c r="P37" s="76" t="n"/>
      <c r="Q37" s="76" t="n"/>
      <c r="R37" s="76" t="inlineStr">
        <is>
          <t>Yes (timely call/SMS)</t>
        </is>
      </c>
      <c r="S37" s="76" t="inlineStr">
        <is>
          <t>Very polite and helpful</t>
        </is>
      </c>
      <c r="T37" s="76" t="inlineStr">
        <is>
          <t>Yes</t>
        </is>
      </c>
      <c r="U37" s="76" t="n"/>
      <c r="V37" s="76" t="n"/>
      <c r="W37" s="76" t="n">
        <v>10</v>
      </c>
      <c r="X37" s="76" t="n"/>
      <c r="Y37" s="76" t="n"/>
      <c r="Z37" s="76" t="inlineStr">
        <is>
          <t>Positive</t>
        </is>
      </c>
      <c r="AA37" s="79" t="n"/>
    </row>
    <row r="38">
      <c r="A38" s="77" t="n"/>
      <c r="B38" s="78" t="n">
        <v>25091998173435</v>
      </c>
      <c r="C38" s="58" t="n"/>
      <c r="D38" s="65" t="n"/>
      <c r="E38" s="62" t="n">
        <v>672173</v>
      </c>
      <c r="F38" s="63" t="inlineStr">
        <is>
          <t>Nadira Afsani</t>
        </is>
      </c>
      <c r="G38" s="60" t="n">
        <v>1521213662</v>
      </c>
      <c r="H38" s="61" t="inlineStr">
        <is>
          <t>Gazipur</t>
        </is>
      </c>
      <c r="I38" s="63" t="inlineStr">
        <is>
          <t>Lifestyle</t>
        </is>
      </c>
      <c r="J38" s="63" t="inlineStr">
        <is>
          <t>Tools, DIY  Outdoor</t>
        </is>
      </c>
      <c r="K38" s="62" t="n">
        <v>260</v>
      </c>
      <c r="L38" s="63" t="inlineStr">
        <is>
          <t>Sony Alkaline Battery AAA - 1.5V (2 Pcs)</t>
        </is>
      </c>
      <c r="M38" s="76" t="inlineStr">
        <is>
          <t>Not Connected</t>
        </is>
      </c>
      <c r="N38" s="76" t="n"/>
      <c r="O38" s="76" t="n"/>
      <c r="P38" s="76" t="n"/>
      <c r="Q38" s="76" t="n"/>
      <c r="R38" s="76" t="n"/>
      <c r="S38" s="76" t="n"/>
      <c r="T38" s="76" t="n"/>
      <c r="U38" s="76" t="n"/>
      <c r="V38" s="76" t="n"/>
      <c r="W38" s="76" t="n"/>
      <c r="X38" s="76" t="n"/>
      <c r="Y38" s="76" t="n"/>
      <c r="Z38" s="76" t="n"/>
      <c r="AA38" s="79" t="n"/>
    </row>
    <row r="39">
      <c r="A39" s="77" t="n"/>
      <c r="B39" s="78" t="n">
        <v>25092022886452</v>
      </c>
      <c r="C39" s="58" t="n"/>
      <c r="D39" s="65" t="n"/>
      <c r="E39" s="62" t="n">
        <v>51762</v>
      </c>
      <c r="F39" s="63" t="inlineStr">
        <is>
          <t xml:space="preserve">Mr./Ms. </t>
        </is>
      </c>
      <c r="G39" s="60" t="n">
        <v>1814618343</v>
      </c>
      <c r="H39" s="66" t="inlineStr">
        <is>
          <t>Mymensingh</t>
        </is>
      </c>
      <c r="I39" s="63" t="inlineStr">
        <is>
          <t>Lifestyle</t>
        </is>
      </c>
      <c r="J39" s="63" t="inlineStr">
        <is>
          <t>Bedding  Bath</t>
        </is>
      </c>
      <c r="K39" s="62" t="n">
        <v>90</v>
      </c>
      <c r="L39" s="63" t="inlineStr">
        <is>
          <t>4 Hat Gamsa Softness &amp; Absorbency for Face, Hand and Body</t>
        </is>
      </c>
      <c r="M39" s="76" t="inlineStr">
        <is>
          <t xml:space="preserve">Connected </t>
        </is>
      </c>
      <c r="N39" s="76" t="inlineStr">
        <is>
          <t>Yes</t>
        </is>
      </c>
      <c r="O39" s="76" t="inlineStr">
        <is>
          <t>Yes (on time)</t>
        </is>
      </c>
      <c r="P39" s="76" t="n"/>
      <c r="Q39" s="76" t="n"/>
      <c r="R39" s="76" t="inlineStr">
        <is>
          <t>Yes (timely call/SMS)</t>
        </is>
      </c>
      <c r="S39" s="76" t="inlineStr">
        <is>
          <t>Very polite and helpful</t>
        </is>
      </c>
      <c r="T39" s="76" t="inlineStr">
        <is>
          <t>Yes</t>
        </is>
      </c>
      <c r="U39" s="76" t="n"/>
      <c r="V39" s="76" t="n"/>
      <c r="W39" s="76" t="n">
        <v>8</v>
      </c>
      <c r="X39" s="76" t="n"/>
      <c r="Y39" s="76" t="n"/>
      <c r="Z39" s="76" t="inlineStr">
        <is>
          <t>Positive</t>
        </is>
      </c>
      <c r="AA39" s="79" t="n"/>
    </row>
    <row r="40">
      <c r="A40" s="77" t="n"/>
      <c r="B40" s="78" t="n">
        <v>25091999381439</v>
      </c>
      <c r="C40" s="58" t="n"/>
      <c r="D40" s="65" t="n"/>
      <c r="E40" s="62" t="n">
        <v>702231</v>
      </c>
      <c r="F40" s="63" t="inlineStr">
        <is>
          <t xml:space="preserve">Minhaz Uddin </t>
        </is>
      </c>
      <c r="G40" s="60" t="n">
        <v>1816333885</v>
      </c>
      <c r="H40" s="66" t="inlineStr">
        <is>
          <t>Moulvibazar</t>
        </is>
      </c>
      <c r="I40" s="63" t="inlineStr">
        <is>
          <t>Fashion</t>
        </is>
      </c>
      <c r="J40" s="63" t="inlineStr">
        <is>
          <t>Fashion</t>
        </is>
      </c>
      <c r="K40" s="62" t="n">
        <v>101</v>
      </c>
      <c r="L40" s="63" t="inlineStr">
        <is>
          <t>Fine Tex Clothing's Aristocratic Quality Embroidered Cap For Men</t>
        </is>
      </c>
      <c r="M40" s="76" t="inlineStr">
        <is>
          <t xml:space="preserve">Connected </t>
        </is>
      </c>
      <c r="N40" s="76" t="inlineStr">
        <is>
          <t>Yes</t>
        </is>
      </c>
      <c r="O40" s="76" t="inlineStr">
        <is>
          <t>Yes (on time)</t>
        </is>
      </c>
      <c r="P40" s="76" t="n"/>
      <c r="Q40" s="76" t="n"/>
      <c r="R40" s="76" t="inlineStr">
        <is>
          <t>Yes (timely call/SMS)</t>
        </is>
      </c>
      <c r="S40" s="76" t="inlineStr">
        <is>
          <t>Very polite and helpful</t>
        </is>
      </c>
      <c r="T40" s="76" t="inlineStr">
        <is>
          <t>Yes</t>
        </is>
      </c>
      <c r="U40" s="76" t="n"/>
      <c r="V40" s="76" t="n"/>
      <c r="W40" s="76" t="n">
        <v>10</v>
      </c>
      <c r="X40" s="76" t="n"/>
      <c r="Y40" s="76" t="n"/>
      <c r="Z40" s="76" t="inlineStr">
        <is>
          <t>Positive</t>
        </is>
      </c>
      <c r="AA40" s="79" t="n"/>
    </row>
    <row r="41">
      <c r="A41" s="77" t="n"/>
      <c r="B41" s="78" t="n">
        <v>25092035620754</v>
      </c>
      <c r="C41" s="58" t="n"/>
      <c r="D41" s="65" t="n"/>
      <c r="E41" s="62" t="n">
        <v>702256</v>
      </c>
      <c r="F41" s="63" t="inlineStr">
        <is>
          <t xml:space="preserve">Mr./Ms. </t>
        </is>
      </c>
      <c r="G41" s="60" t="n">
        <v>1644605434</v>
      </c>
      <c r="H41" s="61" t="inlineStr">
        <is>
          <t>Chattogram Sadar</t>
        </is>
      </c>
      <c r="I41" s="63" t="inlineStr">
        <is>
          <t>FMCG</t>
        </is>
      </c>
      <c r="J41" s="63" t="inlineStr">
        <is>
          <t>Groceries</t>
        </is>
      </c>
      <c r="K41" s="62" t="n">
        <v>71</v>
      </c>
      <c r="L41" s="63" t="inlineStr">
        <is>
          <t>Partex Cleen Toilet Tissue White (4 Roll Combo) - Ultra Soft</t>
        </is>
      </c>
      <c r="M41" s="76" t="inlineStr">
        <is>
          <t>Not Connected</t>
        </is>
      </c>
      <c r="N41" s="76" t="n"/>
      <c r="O41" s="76" t="n"/>
      <c r="P41" s="76" t="inlineStr">
        <is>
          <t>Missing Item</t>
        </is>
      </c>
      <c r="Q41" s="76" t="n"/>
      <c r="R41" s="76" t="n"/>
      <c r="S41" s="76" t="n"/>
      <c r="T41" s="76" t="n"/>
      <c r="U41" s="76" t="n"/>
      <c r="V41" s="76" t="n"/>
      <c r="W41" s="76" t="n"/>
      <c r="X41" s="76" t="n"/>
      <c r="Y41" s="76" t="n"/>
      <c r="Z41" s="76" t="n"/>
      <c r="AA41" s="79" t="n"/>
    </row>
    <row r="42">
      <c r="A42" s="77" t="n"/>
      <c r="B42" s="78" t="n">
        <v>25092030467185</v>
      </c>
      <c r="C42" s="58" t="n"/>
      <c r="D42" s="65" t="n"/>
      <c r="E42" s="62" t="n">
        <v>670822</v>
      </c>
      <c r="F42" s="63" t="inlineStr">
        <is>
          <t>Tuhin Tuhin</t>
        </is>
      </c>
      <c r="G42" s="60" t="n">
        <v>1302065252</v>
      </c>
      <c r="H42" s="66" t="inlineStr">
        <is>
          <t>Feni</t>
        </is>
      </c>
      <c r="I42" s="63" t="inlineStr">
        <is>
          <t>Fashion</t>
        </is>
      </c>
      <c r="J42" s="63" t="inlineStr">
        <is>
          <t>Fashion</t>
        </is>
      </c>
      <c r="K42" s="62" t="n">
        <v>599</v>
      </c>
      <c r="L42" s="63" t="inlineStr">
        <is>
          <t>Kids school uniform white shoe (action) soft and comfortable uniform shoe</t>
        </is>
      </c>
      <c r="M42" s="76" t="inlineStr">
        <is>
          <t xml:space="preserve">Connected </t>
        </is>
      </c>
      <c r="N42" s="76" t="inlineStr">
        <is>
          <t>Yes</t>
        </is>
      </c>
      <c r="O42" s="76" t="inlineStr">
        <is>
          <t>Yes (on time)</t>
        </is>
      </c>
      <c r="P42" s="76" t="n"/>
      <c r="Q42" s="76" t="n"/>
      <c r="R42" s="76" t="inlineStr">
        <is>
          <t>Yes (timely call/SMS)</t>
        </is>
      </c>
      <c r="S42" s="76" t="inlineStr">
        <is>
          <t>Very polite and helpful</t>
        </is>
      </c>
      <c r="T42" s="76" t="inlineStr">
        <is>
          <t>Yes</t>
        </is>
      </c>
      <c r="U42" s="76" t="n"/>
      <c r="V42" s="76" t="n"/>
      <c r="W42" s="76" t="n">
        <v>9</v>
      </c>
      <c r="X42" s="76" t="n"/>
      <c r="Y42" s="76" t="n"/>
      <c r="Z42" s="76" t="inlineStr">
        <is>
          <t>Positive</t>
        </is>
      </c>
      <c r="AA42" s="79" t="n"/>
    </row>
    <row r="43">
      <c r="A43" s="77" t="n"/>
      <c r="B43" s="78" t="n">
        <v>25092057572023</v>
      </c>
      <c r="C43" s="58" t="n"/>
      <c r="D43" s="65" t="n"/>
      <c r="E43" s="62" t="n">
        <v>648095</v>
      </c>
      <c r="F43" s="63" t="inlineStr">
        <is>
          <t xml:space="preserve">Mr./Ms. </t>
        </is>
      </c>
      <c r="G43" s="60" t="n">
        <v>1716966428</v>
      </c>
      <c r="H43" s="66" t="inlineStr">
        <is>
          <t>Moulvibazar</t>
        </is>
      </c>
      <c r="I43" s="63" t="inlineStr">
        <is>
          <t>Electronics</t>
        </is>
      </c>
      <c r="J43" s="63" t="inlineStr">
        <is>
          <t>TV, Audio / Video, Gaming  Wearables</t>
        </is>
      </c>
      <c r="K43" s="62" t="n">
        <v>285</v>
      </c>
      <c r="L43" s="63" t="inlineStr">
        <is>
          <t>K8 Wireless Microphone (Type c) - Microphone</t>
        </is>
      </c>
      <c r="M43" s="76" t="inlineStr">
        <is>
          <t xml:space="preserve">Connected </t>
        </is>
      </c>
      <c r="N43" s="76" t="inlineStr">
        <is>
          <t>Yes</t>
        </is>
      </c>
      <c r="O43" s="76" t="inlineStr">
        <is>
          <t>Yes (on time)</t>
        </is>
      </c>
      <c r="P43" s="76" t="n"/>
      <c r="Q43" s="76" t="n"/>
      <c r="R43" s="76" t="inlineStr">
        <is>
          <t>Yes (timely call/SMS)</t>
        </is>
      </c>
      <c r="S43" s="76" t="inlineStr">
        <is>
          <t>Very polite and helpful</t>
        </is>
      </c>
      <c r="T43" s="76" t="inlineStr">
        <is>
          <t>Yes</t>
        </is>
      </c>
      <c r="U43" s="76" t="n"/>
      <c r="V43" s="76" t="n"/>
      <c r="W43" s="76" t="n">
        <v>8</v>
      </c>
      <c r="X43" s="76" t="n"/>
      <c r="Y43" s="76" t="n"/>
      <c r="Z43" s="76" t="inlineStr">
        <is>
          <t>Positive</t>
        </is>
      </c>
      <c r="AA43" s="79" t="n"/>
    </row>
    <row r="44">
      <c r="A44" s="77" t="n"/>
      <c r="B44" s="78" t="n">
        <v>25092043126232</v>
      </c>
      <c r="C44" s="58" t="n"/>
      <c r="D44" s="65" t="n"/>
      <c r="E44" s="62" t="n">
        <v>677879</v>
      </c>
      <c r="F44" s="63" t="inlineStr">
        <is>
          <t xml:space="preserve">Md Rajib </t>
        </is>
      </c>
      <c r="G44" s="60" t="n">
        <v>1719894243</v>
      </c>
      <c r="H44" s="66" t="inlineStr">
        <is>
          <t>Chattogram Sadar</t>
        </is>
      </c>
      <c r="I44" s="63" t="inlineStr">
        <is>
          <t>Fashion</t>
        </is>
      </c>
      <c r="J44" s="63" t="inlineStr">
        <is>
          <t>Fashion</t>
        </is>
      </c>
      <c r="K44" s="62" t="n">
        <v>709</v>
      </c>
      <c r="L44" s="63" t="inlineStr">
        <is>
          <t>Deep Gray Panjabi For Men New Collection 2024 Eid | Printed Cotton Panjabi For Men</t>
        </is>
      </c>
      <c r="M44" s="76" t="inlineStr">
        <is>
          <t>Not Connected</t>
        </is>
      </c>
      <c r="N44" s="76" t="n"/>
      <c r="O44" s="76" t="n"/>
      <c r="P44" s="76" t="n"/>
      <c r="Q44" s="76" t="n"/>
      <c r="R44" s="76" t="n"/>
      <c r="S44" s="76" t="n"/>
      <c r="T44" s="76" t="n"/>
      <c r="U44" s="76" t="n"/>
      <c r="V44" s="76" t="n"/>
      <c r="W44" s="76" t="n"/>
      <c r="X44" s="76" t="n"/>
      <c r="Y44" s="76" t="n"/>
      <c r="Z44" s="76" t="n"/>
      <c r="AA44" s="79" t="n"/>
    </row>
    <row r="45">
      <c r="A45" s="77" t="n"/>
      <c r="B45" s="78" t="n">
        <v>25092058877026</v>
      </c>
      <c r="C45" s="58" t="n"/>
      <c r="D45" s="65" t="n"/>
      <c r="E45" s="62" t="n">
        <v>229617</v>
      </c>
      <c r="F45" s="63" t="inlineStr">
        <is>
          <t>Md Tozammel Hossain</t>
        </is>
      </c>
      <c r="G45" s="60" t="n">
        <v>1729369671</v>
      </c>
      <c r="H45" s="66" t="inlineStr">
        <is>
          <t>Bogra</t>
        </is>
      </c>
      <c r="I45" s="63" t="inlineStr">
        <is>
          <t>FMCG</t>
        </is>
      </c>
      <c r="J45" s="63" t="inlineStr">
        <is>
          <t>Mother  Baby</t>
        </is>
      </c>
      <c r="K45" s="62" t="n">
        <v>29</v>
      </c>
      <c r="L45" s="63" t="inlineStr">
        <is>
          <t>Silicone Baby Finger Tooth Brush with box (China)</t>
        </is>
      </c>
      <c r="M45" s="76" t="inlineStr">
        <is>
          <t xml:space="preserve">Connected </t>
        </is>
      </c>
      <c r="N45" s="76" t="inlineStr">
        <is>
          <t>Yes</t>
        </is>
      </c>
      <c r="O45" s="76" t="inlineStr">
        <is>
          <t>Yes (on time)</t>
        </is>
      </c>
      <c r="P45" s="76" t="n"/>
      <c r="Q45" s="76" t="n"/>
      <c r="R45" s="76" t="inlineStr">
        <is>
          <t>Yes (timely call/SMS)</t>
        </is>
      </c>
      <c r="S45" s="76" t="inlineStr">
        <is>
          <t>Very polite and helpful</t>
        </is>
      </c>
      <c r="T45" s="76" t="inlineStr">
        <is>
          <t>Yes</t>
        </is>
      </c>
      <c r="U45" s="76" t="n"/>
      <c r="V45" s="76" t="n"/>
      <c r="W45" s="76" t="n">
        <v>10</v>
      </c>
      <c r="X45" s="76" t="n"/>
      <c r="Y45" s="76" t="n"/>
      <c r="Z45" s="76" t="inlineStr">
        <is>
          <t>Positive</t>
        </is>
      </c>
      <c r="AA45" s="79" t="n"/>
    </row>
    <row r="46">
      <c r="A46" s="77" t="n"/>
      <c r="B46" s="78" t="n">
        <v>25092075026646</v>
      </c>
      <c r="C46" s="58" t="n"/>
      <c r="D46" s="65" t="n"/>
      <c r="E46" s="62" t="n">
        <v>421901</v>
      </c>
      <c r="F46" s="63" t="inlineStr">
        <is>
          <t xml:space="preserve">Ab Tonmoy </t>
        </is>
      </c>
      <c r="G46" s="60" t="n">
        <v>1758194624</v>
      </c>
      <c r="H46" s="66" t="inlineStr">
        <is>
          <t>Kushtia</t>
        </is>
      </c>
      <c r="I46" s="63" t="inlineStr">
        <is>
          <t>Electronics</t>
        </is>
      </c>
      <c r="J46" s="63" t="inlineStr">
        <is>
          <t>TV, Audio / Video, Gaming  Wearables</t>
        </is>
      </c>
      <c r="K46" s="62" t="n">
        <v>140</v>
      </c>
      <c r="L46" s="63" t="inlineStr">
        <is>
          <t>Samsung AKG Type-C Earphones black Or White</t>
        </is>
      </c>
      <c r="M46" s="76" t="inlineStr">
        <is>
          <t xml:space="preserve">Connected </t>
        </is>
      </c>
      <c r="N46" s="76" t="inlineStr">
        <is>
          <t>Yes</t>
        </is>
      </c>
      <c r="O46" s="76" t="inlineStr">
        <is>
          <t>Yes (on time)</t>
        </is>
      </c>
      <c r="P46" s="76" t="n"/>
      <c r="Q46" s="76" t="n"/>
      <c r="R46" s="76" t="inlineStr">
        <is>
          <t>Yes (timely call/SMS)</t>
        </is>
      </c>
      <c r="S46" s="76" t="inlineStr">
        <is>
          <t>Very polite and helpful</t>
        </is>
      </c>
      <c r="T46" s="76" t="inlineStr">
        <is>
          <t>Yes</t>
        </is>
      </c>
      <c r="U46" s="76" t="n"/>
      <c r="V46" s="76" t="n"/>
      <c r="W46" s="76" t="n">
        <v>9</v>
      </c>
      <c r="X46" s="76" t="n"/>
      <c r="Y46" s="76" t="n"/>
      <c r="Z46" s="76" t="inlineStr">
        <is>
          <t>Positive</t>
        </is>
      </c>
      <c r="AA46" s="79" t="n"/>
    </row>
    <row r="47">
      <c r="A47" s="77" t="n"/>
      <c r="B47" s="78" t="n">
        <v>25092098388792</v>
      </c>
      <c r="C47" s="58" t="n"/>
      <c r="D47" s="65" t="n"/>
      <c r="E47" s="62" t="n">
        <v>670822</v>
      </c>
      <c r="F47" s="63" t="inlineStr">
        <is>
          <t>Tuhin Tuhin</t>
        </is>
      </c>
      <c r="G47" s="60" t="n">
        <v>1302065252</v>
      </c>
      <c r="H47" s="61" t="inlineStr">
        <is>
          <t>Feni</t>
        </is>
      </c>
      <c r="I47" s="63" t="inlineStr">
        <is>
          <t>Lifestyle</t>
        </is>
      </c>
      <c r="J47" s="63" t="inlineStr">
        <is>
          <t>Stationery  Craft</t>
        </is>
      </c>
      <c r="K47" s="62" t="n">
        <v>78</v>
      </c>
      <c r="L47" s="63" t="inlineStr">
        <is>
          <t>2 pcs Mehindi henna sticker waterproof reusable bridal party stencil(স্টক থাকা সাপেক্ষে ডিজাইন পরিবর্তন হতে পারে)</t>
        </is>
      </c>
      <c r="M47" s="76" t="inlineStr">
        <is>
          <t xml:space="preserve">Connected </t>
        </is>
      </c>
      <c r="N47" s="76" t="inlineStr">
        <is>
          <t>Yes</t>
        </is>
      </c>
      <c r="O47" s="76" t="inlineStr">
        <is>
          <t>Yes (on time)</t>
        </is>
      </c>
      <c r="P47" s="76" t="n"/>
      <c r="Q47" s="76" t="n"/>
      <c r="R47" s="76" t="inlineStr">
        <is>
          <t>Yes (timely call/SMS)</t>
        </is>
      </c>
      <c r="S47" s="76" t="inlineStr">
        <is>
          <t>Very polite and helpful</t>
        </is>
      </c>
      <c r="T47" s="76" t="inlineStr">
        <is>
          <t>Yes</t>
        </is>
      </c>
      <c r="U47" s="76" t="n"/>
      <c r="V47" s="76" t="n"/>
      <c r="W47" s="76" t="n">
        <v>10</v>
      </c>
      <c r="X47" s="76" t="n"/>
      <c r="Y47" s="76" t="n"/>
      <c r="Z47" s="76" t="inlineStr">
        <is>
          <t>Positive</t>
        </is>
      </c>
      <c r="AA47" s="79" t="n"/>
    </row>
    <row r="48">
      <c r="A48" s="77" t="n"/>
      <c r="B48" s="78" t="n">
        <v>25092140109496</v>
      </c>
      <c r="C48" s="58" t="n"/>
      <c r="D48" s="65" t="n"/>
      <c r="E48" s="62" t="n">
        <v>709191</v>
      </c>
      <c r="F48" s="63" t="inlineStr">
        <is>
          <t xml:space="preserve">Riyad Molla </t>
        </is>
      </c>
      <c r="G48" s="60" t="n">
        <v>1636850209</v>
      </c>
      <c r="H48" s="66" t="inlineStr">
        <is>
          <t>Rajbari</t>
        </is>
      </c>
      <c r="I48" s="63" t="inlineStr">
        <is>
          <t>Lifestyle</t>
        </is>
      </c>
      <c r="J48" s="63" t="inlineStr">
        <is>
          <t>Tools, DIY  Outdoor</t>
        </is>
      </c>
      <c r="K48" s="62" t="n">
        <v>650</v>
      </c>
      <c r="L48" s="63" t="inlineStr">
        <is>
          <t>200W 3.7V Solar Led Light With Remote Control Remote Led Light ( Original )</t>
        </is>
      </c>
      <c r="M48" s="76" t="inlineStr">
        <is>
          <t xml:space="preserve">Connected </t>
        </is>
      </c>
      <c r="N48" s="76" t="inlineStr">
        <is>
          <t>Yes</t>
        </is>
      </c>
      <c r="O48" s="76" t="inlineStr">
        <is>
          <t>Yes (on time)</t>
        </is>
      </c>
      <c r="P48" s="76" t="n"/>
      <c r="Q48" s="76" t="n"/>
      <c r="R48" s="76" t="inlineStr">
        <is>
          <t>Yes (timely call/SMS)</t>
        </is>
      </c>
      <c r="S48" s="76" t="inlineStr">
        <is>
          <t>Very polite and helpful</t>
        </is>
      </c>
      <c r="T48" s="76" t="inlineStr">
        <is>
          <t>Yes</t>
        </is>
      </c>
      <c r="U48" s="76" t="n"/>
      <c r="V48" s="76" t="n"/>
      <c r="W48" s="76" t="n">
        <v>9</v>
      </c>
      <c r="X48" s="76" t="n"/>
      <c r="Y48" s="76" t="n"/>
      <c r="Z48" s="76" t="inlineStr">
        <is>
          <t>Positive</t>
        </is>
      </c>
      <c r="AA48" s="79" t="n"/>
    </row>
    <row r="49">
      <c r="A49" s="77" t="n"/>
      <c r="B49" s="78" t="n">
        <v>25092144360379</v>
      </c>
      <c r="C49" s="58" t="n"/>
      <c r="D49" s="65" t="n"/>
      <c r="E49" s="62" t="n">
        <v>493335</v>
      </c>
      <c r="F49" s="63" t="inlineStr">
        <is>
          <t xml:space="preserve">Mr./Ms. </t>
        </is>
      </c>
      <c r="G49" s="60" t="n">
        <v>1760664085</v>
      </c>
      <c r="H49" s="61" t="inlineStr">
        <is>
          <t>Narail</t>
        </is>
      </c>
      <c r="I49" s="63" t="inlineStr">
        <is>
          <t>Electronics</t>
        </is>
      </c>
      <c r="J49" s="63" t="inlineStr">
        <is>
          <t>Mobiles  Tablets</t>
        </is>
      </c>
      <c r="K49" s="62" t="n">
        <v>183</v>
      </c>
      <c r="L49" s="63" t="inlineStr">
        <is>
          <t>Spigen cover For Motorola Edge Plus Carbon Fiber Back cover Soft Slim Fashion Non-Slip Protective Carbon Fiber Phone Case</t>
        </is>
      </c>
      <c r="M49" s="76" t="inlineStr">
        <is>
          <t>Not Connected</t>
        </is>
      </c>
      <c r="N49" s="76" t="n"/>
      <c r="O49" s="76" t="n"/>
      <c r="P49" s="76" t="n"/>
      <c r="Q49" s="76" t="n"/>
      <c r="R49" s="76" t="n"/>
      <c r="S49" s="76" t="n"/>
      <c r="T49" s="76" t="n"/>
      <c r="U49" s="76" t="n"/>
      <c r="V49" s="76" t="n"/>
      <c r="W49" s="76" t="n"/>
      <c r="X49" s="76" t="n"/>
      <c r="Y49" s="76" t="n"/>
      <c r="Z49" s="76" t="n"/>
      <c r="AA49" s="79" t="n"/>
    </row>
    <row r="50">
      <c r="A50" s="77" t="n"/>
      <c r="B50" s="78" t="n">
        <v>25092164290210</v>
      </c>
      <c r="C50" s="58" t="n"/>
      <c r="D50" s="65" t="n"/>
      <c r="E50" s="62" t="n">
        <v>707967</v>
      </c>
      <c r="F50" s="63" t="inlineStr">
        <is>
          <t xml:space="preserve">Mehedi hasan Mahi </t>
        </is>
      </c>
      <c r="G50" s="60" t="n">
        <v>1747458797</v>
      </c>
      <c r="H50" s="66" t="inlineStr">
        <is>
          <t>Natore</t>
        </is>
      </c>
      <c r="I50" s="63" t="inlineStr">
        <is>
          <t>Lifestyle</t>
        </is>
      </c>
      <c r="J50" s="63" t="inlineStr">
        <is>
          <t>Furniture  Decor</t>
        </is>
      </c>
      <c r="K50" s="62" t="n">
        <v>1425</v>
      </c>
      <c r="L50" s="63" t="inlineStr">
        <is>
          <t>Smart Led Light Multi Color Changing Lamp 15W E27 RGB Dimmable Led Tuya Wifi Smart Bulb</t>
        </is>
      </c>
      <c r="M50" s="76" t="inlineStr">
        <is>
          <t xml:space="preserve">Connected </t>
        </is>
      </c>
      <c r="N50" s="76" t="inlineStr">
        <is>
          <t>Yes</t>
        </is>
      </c>
      <c r="O50" s="76" t="inlineStr">
        <is>
          <t>Yes (on time)</t>
        </is>
      </c>
      <c r="P50" s="76" t="n"/>
      <c r="Q50" s="76" t="n"/>
      <c r="R50" s="76" t="inlineStr">
        <is>
          <t>Yes (timely call/SMS)</t>
        </is>
      </c>
      <c r="S50" s="76" t="inlineStr">
        <is>
          <t>Very polite and helpful</t>
        </is>
      </c>
      <c r="T50" s="76" t="inlineStr">
        <is>
          <t>Yes</t>
        </is>
      </c>
      <c r="U50" s="76" t="n"/>
      <c r="V50" s="76" t="n"/>
      <c r="W50" s="76" t="n">
        <v>9</v>
      </c>
      <c r="X50" s="76" t="n"/>
      <c r="Y50" s="76" t="n"/>
      <c r="Z50" s="76" t="inlineStr">
        <is>
          <t>Positive</t>
        </is>
      </c>
      <c r="AA50" s="79" t="n"/>
    </row>
    <row r="51">
      <c r="A51" s="77" t="n"/>
      <c r="B51" s="78" t="n">
        <v>25092163456487</v>
      </c>
      <c r="C51" s="58" t="n"/>
      <c r="D51" s="65" t="n"/>
      <c r="E51" s="62" t="n">
        <v>642632</v>
      </c>
      <c r="F51" s="63" t="inlineStr">
        <is>
          <t>Amiya Barman</t>
        </is>
      </c>
      <c r="G51" s="60" t="n">
        <v>1727773727</v>
      </c>
      <c r="H51" s="61" t="inlineStr">
        <is>
          <t>Sylhet</t>
        </is>
      </c>
      <c r="I51" s="63" t="inlineStr">
        <is>
          <t>Lifestyle</t>
        </is>
      </c>
      <c r="J51" s="63" t="inlineStr">
        <is>
          <t>Tools, DIY  Outdoor</t>
        </is>
      </c>
      <c r="K51" s="62" t="n">
        <v>179</v>
      </c>
      <c r="L51" s="63" t="inlineStr">
        <is>
          <t>10 Pcs TP4056 Type C Battery Charger Module Circuit Board - -Use For 18650 Lithium Battery</t>
        </is>
      </c>
      <c r="M51" s="76" t="inlineStr">
        <is>
          <t xml:space="preserve">Connected </t>
        </is>
      </c>
      <c r="N51" s="76" t="inlineStr">
        <is>
          <t>Yes</t>
        </is>
      </c>
      <c r="O51" s="76" t="inlineStr">
        <is>
          <t>Yes (on time)</t>
        </is>
      </c>
      <c r="P51" s="76" t="n"/>
      <c r="Q51" s="76" t="n"/>
      <c r="R51" s="76" t="inlineStr">
        <is>
          <t>Yes (timely call/SMS)</t>
        </is>
      </c>
      <c r="S51" s="76" t="inlineStr">
        <is>
          <t>Very polite and helpful</t>
        </is>
      </c>
      <c r="T51" s="76" t="inlineStr">
        <is>
          <t>Yes</t>
        </is>
      </c>
      <c r="U51" s="76" t="n"/>
      <c r="V51" s="76" t="n"/>
      <c r="W51" s="76" t="n">
        <v>8</v>
      </c>
      <c r="X51" s="76" t="n"/>
      <c r="Y51" s="76" t="n"/>
      <c r="Z51" s="76" t="inlineStr">
        <is>
          <t>Positive</t>
        </is>
      </c>
      <c r="AA51" s="79" t="n"/>
    </row>
    <row r="52">
      <c r="A52" s="77" t="n"/>
      <c r="B52" s="78" t="n">
        <v>25092155367604</v>
      </c>
      <c r="C52" s="58" t="n"/>
      <c r="D52" s="65" t="n"/>
      <c r="E52" s="62" t="n">
        <v>553704</v>
      </c>
      <c r="F52" s="63" t="inlineStr">
        <is>
          <t xml:space="preserve">Mr./Ms. </t>
        </is>
      </c>
      <c r="G52" s="60" t="n">
        <v>1911008641</v>
      </c>
      <c r="H52" s="66" t="inlineStr">
        <is>
          <t>Bagerhat</t>
        </is>
      </c>
      <c r="I52" s="63" t="inlineStr">
        <is>
          <t>Fashion</t>
        </is>
      </c>
      <c r="J52" s="63" t="inlineStr">
        <is>
          <t>Watches Sunglasses Jewellery</t>
        </is>
      </c>
      <c r="K52" s="62" t="n">
        <v>829</v>
      </c>
      <c r="L52" s="63" t="inlineStr">
        <is>
          <t xml:space="preserve">Y80 Ultra Watch </t>
        </is>
      </c>
      <c r="M52" s="76" t="inlineStr">
        <is>
          <t xml:space="preserve">Connected </t>
        </is>
      </c>
      <c r="N52" s="76" t="inlineStr">
        <is>
          <t>Yes</t>
        </is>
      </c>
      <c r="O52" s="76" t="inlineStr">
        <is>
          <t>Yes (on time)</t>
        </is>
      </c>
      <c r="P52" s="76" t="n"/>
      <c r="Q52" s="76" t="n"/>
      <c r="R52" s="76" t="inlineStr">
        <is>
          <t>Yes (timely call/SMS)</t>
        </is>
      </c>
      <c r="S52" s="76" t="inlineStr">
        <is>
          <t>Very polite and helpful</t>
        </is>
      </c>
      <c r="T52" s="76" t="inlineStr">
        <is>
          <t>Yes</t>
        </is>
      </c>
      <c r="U52" s="76" t="n"/>
      <c r="V52" s="76" t="n"/>
      <c r="W52" s="76" t="n">
        <v>10</v>
      </c>
      <c r="X52" s="76" t="n"/>
      <c r="Y52" s="76" t="n"/>
      <c r="Z52" s="76" t="inlineStr">
        <is>
          <t>Positive</t>
        </is>
      </c>
      <c r="AA52" s="79" t="n"/>
    </row>
    <row r="53">
      <c r="A53" s="77" t="n"/>
      <c r="B53" s="78" t="n">
        <v>25092162954719</v>
      </c>
      <c r="C53" s="58" t="n"/>
      <c r="D53" s="65" t="n"/>
      <c r="E53" s="62" t="n">
        <v>684874</v>
      </c>
      <c r="F53" s="63" t="inlineStr">
        <is>
          <t>Md RR mehedi</t>
        </is>
      </c>
      <c r="G53" s="60" t="n">
        <v>1793746291</v>
      </c>
      <c r="H53" s="66" t="inlineStr">
        <is>
          <t>Gazipur</t>
        </is>
      </c>
      <c r="I53" s="63" t="inlineStr">
        <is>
          <t>Lifestyle</t>
        </is>
      </c>
      <c r="J53" s="63" t="inlineStr">
        <is>
          <t>Tools, DIY  Outdoor</t>
        </is>
      </c>
      <c r="K53" s="62" t="n">
        <v>129</v>
      </c>
      <c r="L53" s="63" t="inlineStr">
        <is>
          <t>32 In 1 Multipurpose Precision Screwdriver Disassemble Electronic Repair Tool</t>
        </is>
      </c>
      <c r="M53" s="76" t="inlineStr">
        <is>
          <t>Not Connected</t>
        </is>
      </c>
      <c r="N53" s="76" t="n"/>
      <c r="O53" s="76" t="n"/>
      <c r="P53" s="76" t="n"/>
      <c r="Q53" s="76" t="n"/>
      <c r="R53" s="76" t="n"/>
      <c r="S53" s="76" t="n"/>
      <c r="T53" s="76" t="n"/>
      <c r="U53" s="76" t="n"/>
      <c r="V53" s="76" t="n"/>
      <c r="W53" s="76" t="n"/>
      <c r="X53" s="76" t="n"/>
      <c r="Y53" s="76" t="n"/>
      <c r="Z53" s="76" t="n"/>
      <c r="AA53" s="79" t="n"/>
    </row>
    <row r="54">
      <c r="A54" s="77" t="n"/>
      <c r="B54" s="78" t="n">
        <v>25092166391741</v>
      </c>
      <c r="C54" s="58" t="n"/>
      <c r="D54" s="65" t="n"/>
      <c r="E54" s="62" t="n">
        <v>563451</v>
      </c>
      <c r="F54" s="63" t="inlineStr">
        <is>
          <t xml:space="preserve">Jannatul Mawa Safa </t>
        </is>
      </c>
      <c r="G54" s="60" t="n">
        <v>1913055687</v>
      </c>
      <c r="H54" s="66" t="inlineStr">
        <is>
          <t>Madaripur</t>
        </is>
      </c>
      <c r="I54" s="63" t="inlineStr">
        <is>
          <t>FMCG</t>
        </is>
      </c>
      <c r="J54" s="63" t="inlineStr">
        <is>
          <t>Mother  Baby</t>
        </is>
      </c>
      <c r="K54" s="62" t="n">
        <v>1750</v>
      </c>
      <c r="L54" s="63" t="inlineStr">
        <is>
          <t>JOHNSON'S Milk + Rice Baby Cream 50g</t>
        </is>
      </c>
      <c r="M54" s="76" t="inlineStr">
        <is>
          <t xml:space="preserve">Connected </t>
        </is>
      </c>
      <c r="N54" s="76" t="inlineStr">
        <is>
          <t>Yes</t>
        </is>
      </c>
      <c r="O54" s="76" t="inlineStr">
        <is>
          <t>Yes (on time)</t>
        </is>
      </c>
      <c r="P54" s="76" t="n"/>
      <c r="Q54" s="76" t="n"/>
      <c r="R54" s="76" t="inlineStr">
        <is>
          <t>Yes (timely call/SMS)</t>
        </is>
      </c>
      <c r="S54" s="76" t="inlineStr">
        <is>
          <t>Very polite and helpful</t>
        </is>
      </c>
      <c r="T54" s="76" t="inlineStr">
        <is>
          <t>Yes</t>
        </is>
      </c>
      <c r="U54" s="76" t="n"/>
      <c r="V54" s="76" t="n"/>
      <c r="W54" s="76" t="n">
        <v>4</v>
      </c>
      <c r="X54" s="76" t="n"/>
      <c r="Y54" s="76" t="n"/>
      <c r="Z54" s="76" t="inlineStr">
        <is>
          <t>Negative</t>
        </is>
      </c>
      <c r="AA54" s="79" t="n"/>
    </row>
    <row r="55">
      <c r="A55" s="77" t="n"/>
      <c r="B55" s="78" t="n">
        <v>25092166719165</v>
      </c>
      <c r="C55" s="58" t="n"/>
      <c r="D55" s="65" t="n"/>
      <c r="E55" s="62" t="n">
        <v>701077</v>
      </c>
      <c r="F55" s="63" t="inlineStr">
        <is>
          <t xml:space="preserve">Sushim Chakma </t>
        </is>
      </c>
      <c r="G55" s="60" t="n">
        <v>1557226991</v>
      </c>
      <c r="H55" s="61" t="inlineStr">
        <is>
          <t>Rangamati</t>
        </is>
      </c>
      <c r="I55" s="63" t="inlineStr">
        <is>
          <t>Fashion</t>
        </is>
      </c>
      <c r="J55" s="63" t="inlineStr">
        <is>
          <t>Fashion</t>
        </is>
      </c>
      <c r="K55" s="62" t="n">
        <v>1099</v>
      </c>
      <c r="L55" s="63" t="inlineStr">
        <is>
          <t xml:space="preserve">Redtape  Sneakers for Men Navy </t>
        </is>
      </c>
      <c r="M55" s="76" t="inlineStr">
        <is>
          <t xml:space="preserve">Connected </t>
        </is>
      </c>
      <c r="N55" s="76" t="inlineStr">
        <is>
          <t>Yes</t>
        </is>
      </c>
      <c r="O55" s="76" t="inlineStr">
        <is>
          <t>Yes (on time)</t>
        </is>
      </c>
      <c r="P55" s="76" t="n"/>
      <c r="Q55" s="76" t="n"/>
      <c r="R55" s="76" t="inlineStr">
        <is>
          <t>Yes (timely call/SMS)</t>
        </is>
      </c>
      <c r="S55" s="76" t="inlineStr">
        <is>
          <t>Very polite and helpful</t>
        </is>
      </c>
      <c r="T55" s="76" t="inlineStr">
        <is>
          <t>Yes</t>
        </is>
      </c>
      <c r="U55" s="76" t="n"/>
      <c r="V55" s="76" t="n"/>
      <c r="W55" s="76" t="n">
        <v>7</v>
      </c>
      <c r="X55" s="76" t="n"/>
      <c r="Y55" s="76" t="n"/>
      <c r="Z55" s="76" t="inlineStr">
        <is>
          <t>Neutral</t>
        </is>
      </c>
      <c r="AA55" s="79" t="n"/>
    </row>
    <row r="56">
      <c r="A56" s="77" t="n"/>
      <c r="B56" s="78" t="n">
        <v>25092186595930</v>
      </c>
      <c r="C56" s="58" t="n"/>
      <c r="D56" s="65" t="n"/>
      <c r="E56" s="62" t="n">
        <v>708541</v>
      </c>
      <c r="F56" s="63" t="inlineStr">
        <is>
          <t xml:space="preserve">Md Rony </t>
        </is>
      </c>
      <c r="G56" s="60" t="n">
        <v>1738888839</v>
      </c>
      <c r="H56" s="61" t="inlineStr">
        <is>
          <t>Patuakhali</t>
        </is>
      </c>
      <c r="I56" s="63" t="inlineStr">
        <is>
          <t>Lifestyle</t>
        </is>
      </c>
      <c r="J56" s="63" t="inlineStr">
        <is>
          <t>Sports  Outdoors</t>
        </is>
      </c>
      <c r="K56" s="62" t="n">
        <v>858</v>
      </c>
      <c r="L56" s="63" t="inlineStr">
        <is>
          <t>Black 12V 30W CREE U3 LED Laser Fog Headlight Spot Light Motorcycle Universal 2 pcs</t>
        </is>
      </c>
      <c r="M56" s="76" t="inlineStr">
        <is>
          <t xml:space="preserve">Connected </t>
        </is>
      </c>
      <c r="N56" s="76" t="inlineStr">
        <is>
          <t>Yes</t>
        </is>
      </c>
      <c r="O56" s="76" t="inlineStr">
        <is>
          <t>Yes (on time)</t>
        </is>
      </c>
      <c r="P56" s="76" t="n"/>
      <c r="Q56" s="76" t="n"/>
      <c r="R56" s="76" t="inlineStr">
        <is>
          <t>Yes (timely call/SMS)</t>
        </is>
      </c>
      <c r="S56" s="76" t="inlineStr">
        <is>
          <t>Very polite and helpful</t>
        </is>
      </c>
      <c r="T56" s="76" t="inlineStr">
        <is>
          <t>Yes</t>
        </is>
      </c>
      <c r="U56" s="76" t="n"/>
      <c r="V56" s="76" t="n"/>
      <c r="W56" s="76" t="n">
        <v>7</v>
      </c>
      <c r="X56" s="76" t="n"/>
      <c r="Y56" s="76" t="n"/>
      <c r="Z56" s="76" t="inlineStr">
        <is>
          <t>Neutral</t>
        </is>
      </c>
      <c r="AA56" s="79" t="n"/>
    </row>
    <row r="57">
      <c r="A57" s="77" t="n"/>
      <c r="B57" s="78" t="n">
        <v>25092228977149</v>
      </c>
      <c r="C57" s="58" t="n"/>
      <c r="D57" s="65" t="n"/>
      <c r="E57" s="62" t="n">
        <v>126483</v>
      </c>
      <c r="F57" s="63" t="inlineStr">
        <is>
          <t xml:space="preserve">Wosman Boss </t>
        </is>
      </c>
      <c r="G57" s="60" t="n">
        <v>1405605904</v>
      </c>
      <c r="H57" s="61" t="inlineStr">
        <is>
          <t>Mymensingh</t>
        </is>
      </c>
      <c r="I57" s="63" t="inlineStr">
        <is>
          <t>Electronics</t>
        </is>
      </c>
      <c r="J57" s="63" t="inlineStr">
        <is>
          <t>TV, Audio / Video, Gaming  Wearables</t>
        </is>
      </c>
      <c r="K57" s="62" t="n">
        <v>433</v>
      </c>
      <c r="L57" s="63" t="inlineStr">
        <is>
          <t>PRO 5 Tws Bluetooth Earphones Wireless Headset Headphones Stereo Erbuds like Airpods 2</t>
        </is>
      </c>
      <c r="M57" s="76" t="inlineStr">
        <is>
          <t xml:space="preserve">Connected </t>
        </is>
      </c>
      <c r="N57" s="76" t="inlineStr">
        <is>
          <t>Yes</t>
        </is>
      </c>
      <c r="O57" s="76" t="inlineStr">
        <is>
          <t>Yes (on time)</t>
        </is>
      </c>
      <c r="P57" s="76" t="n"/>
      <c r="Q57" s="76" t="n"/>
      <c r="R57" s="76" t="inlineStr">
        <is>
          <t>Yes (timely call/SMS)</t>
        </is>
      </c>
      <c r="S57" s="76" t="inlineStr">
        <is>
          <t>Very polite and helpful</t>
        </is>
      </c>
      <c r="T57" s="76" t="inlineStr">
        <is>
          <t>Yes</t>
        </is>
      </c>
      <c r="U57" s="76" t="n"/>
      <c r="V57" s="76" t="n"/>
      <c r="W57" s="76" t="n">
        <v>10</v>
      </c>
      <c r="X57" s="76" t="n"/>
      <c r="Y57" s="76" t="n"/>
      <c r="Z57" s="76" t="inlineStr">
        <is>
          <t>Positive</t>
        </is>
      </c>
      <c r="AA57" s="79" t="n"/>
    </row>
    <row r="58">
      <c r="A58" s="77" t="n"/>
      <c r="B58" s="78" t="n">
        <v>25092243015317</v>
      </c>
      <c r="C58" s="58" t="n"/>
      <c r="D58" s="65" t="n"/>
      <c r="E58" s="62" t="n">
        <v>562862</v>
      </c>
      <c r="F58" s="63" t="inlineStr">
        <is>
          <t xml:space="preserve">MST Rakia </t>
        </is>
      </c>
      <c r="G58" s="60" t="n">
        <v>1969469647</v>
      </c>
      <c r="H58" s="61" t="inlineStr">
        <is>
          <t>Bagerhat</t>
        </is>
      </c>
      <c r="I58" s="63" t="inlineStr">
        <is>
          <t>Electronics</t>
        </is>
      </c>
      <c r="J58" s="63" t="inlineStr">
        <is>
          <t>Mobiles  Tablets</t>
        </is>
      </c>
      <c r="K58" s="62" t="n">
        <v>260</v>
      </c>
      <c r="L58" s="63" t="inlineStr">
        <is>
          <t>Motorola Moto G85 Silicone Back Cover For Smartphone Phone Case</t>
        </is>
      </c>
      <c r="M58" s="76" t="inlineStr">
        <is>
          <t>Not Connected</t>
        </is>
      </c>
      <c r="N58" s="76" t="n"/>
      <c r="O58" s="76" t="n"/>
      <c r="P58" s="76" t="n"/>
      <c r="Q58" s="76" t="n"/>
      <c r="R58" s="76" t="n"/>
      <c r="S58" s="76" t="n"/>
      <c r="T58" s="76" t="n"/>
      <c r="U58" s="83" t="n"/>
      <c r="V58" s="76" t="n"/>
      <c r="W58" s="76" t="n"/>
      <c r="X58" s="76" t="n"/>
      <c r="Y58" s="76" t="n"/>
      <c r="Z58" s="76" t="n"/>
      <c r="AA58" s="79" t="n"/>
    </row>
    <row r="59">
      <c r="A59" s="77" t="n"/>
      <c r="B59" s="78" t="n">
        <v>25092236286414</v>
      </c>
      <c r="C59" s="58" t="n"/>
      <c r="D59" s="65" t="n"/>
      <c r="E59" s="62" t="n">
        <v>453315</v>
      </c>
      <c r="F59" s="63" t="inlineStr">
        <is>
          <t>Nawrin Islam</t>
        </is>
      </c>
      <c r="G59" s="60" t="n">
        <v>1957417481</v>
      </c>
      <c r="H59" s="61" t="inlineStr">
        <is>
          <t>Khulna</t>
        </is>
      </c>
      <c r="I59" s="63" t="inlineStr">
        <is>
          <t>Lifestyle</t>
        </is>
      </c>
      <c r="J59" s="63" t="inlineStr">
        <is>
          <t>Laundry  Cleaning</t>
        </is>
      </c>
      <c r="K59" s="62" t="n">
        <v>199</v>
      </c>
      <c r="L59" s="63" t="inlineStr">
        <is>
          <t>Microfibre Multipurpose Extendable Duster</t>
        </is>
      </c>
      <c r="M59" s="76" t="inlineStr">
        <is>
          <t xml:space="preserve">Connected </t>
        </is>
      </c>
      <c r="N59" s="76" t="inlineStr">
        <is>
          <t>Yes</t>
        </is>
      </c>
      <c r="O59" s="76" t="inlineStr">
        <is>
          <t>Yes (on time)</t>
        </is>
      </c>
      <c r="P59" s="76" t="n"/>
      <c r="Q59" s="76" t="n"/>
      <c r="R59" s="76" t="inlineStr">
        <is>
          <t>Yes (timely call/SMS)</t>
        </is>
      </c>
      <c r="S59" s="76" t="inlineStr">
        <is>
          <t>Very polite and helpful</t>
        </is>
      </c>
      <c r="T59" s="76" t="inlineStr">
        <is>
          <t>Yes</t>
        </is>
      </c>
      <c r="U59" s="76" t="n"/>
      <c r="V59" s="76" t="n"/>
      <c r="W59" s="76" t="n">
        <v>10</v>
      </c>
      <c r="X59" s="76" t="n"/>
      <c r="Y59" s="76" t="n"/>
      <c r="Z59" s="76" t="inlineStr">
        <is>
          <t>Positive</t>
        </is>
      </c>
      <c r="AA59" s="79" t="n"/>
    </row>
    <row r="60">
      <c r="A60" s="77" t="n"/>
      <c r="B60" s="78" t="n">
        <v>25092271269879</v>
      </c>
      <c r="C60" s="58" t="n"/>
      <c r="D60" s="65" t="n"/>
      <c r="E60" s="62" t="n">
        <v>711555</v>
      </c>
      <c r="F60" s="63" t="inlineStr">
        <is>
          <t xml:space="preserve">Graphic Designer Hossain </t>
        </is>
      </c>
      <c r="G60" s="60" t="n">
        <v>1772789686</v>
      </c>
      <c r="H60" s="61" t="inlineStr">
        <is>
          <t>Narayanganj</t>
        </is>
      </c>
      <c r="I60" s="63" t="inlineStr">
        <is>
          <t>Electronics</t>
        </is>
      </c>
      <c r="J60" s="63" t="inlineStr">
        <is>
          <t>TV, Audio / Video, Gaming  Wearables</t>
        </is>
      </c>
      <c r="K60" s="62" t="n">
        <v>257</v>
      </c>
      <c r="L60" s="63" t="inlineStr">
        <is>
          <t>G02 Wireless Bluetooth Headset Neck-Hanging Stereo Headphone Sports Earphone Music Earbuds</t>
        </is>
      </c>
      <c r="M60" s="76" t="inlineStr">
        <is>
          <t>Not Connected</t>
        </is>
      </c>
      <c r="N60" s="76" t="n"/>
      <c r="O60" s="76" t="n"/>
      <c r="P60" s="76" t="n"/>
      <c r="Q60" s="76" t="n"/>
      <c r="R60" s="76" t="n"/>
      <c r="S60" s="76" t="n"/>
      <c r="T60" s="76" t="n"/>
      <c r="U60" s="83" t="n"/>
      <c r="V60" s="76" t="n"/>
      <c r="W60" s="76" t="n"/>
      <c r="X60" s="76" t="n"/>
      <c r="Y60" s="76" t="n"/>
      <c r="Z60" s="76" t="n"/>
      <c r="AA60" s="79" t="n"/>
    </row>
    <row r="61">
      <c r="A61" s="77" t="n"/>
      <c r="B61" s="78" t="n">
        <v>25092340388247</v>
      </c>
      <c r="C61" s="63" t="inlineStr">
        <is>
          <t>Efat</t>
        </is>
      </c>
      <c r="D61" s="65" t="n"/>
      <c r="E61" s="62" t="n">
        <v>617938</v>
      </c>
      <c r="F61" s="63" t="inlineStr">
        <is>
          <t xml:space="preserve">Tanvir Hasan </t>
        </is>
      </c>
      <c r="G61" s="60" t="n">
        <v>1794300956</v>
      </c>
      <c r="H61" s="66" t="inlineStr">
        <is>
          <t>Rajshahi</t>
        </is>
      </c>
      <c r="I61" s="63" t="inlineStr">
        <is>
          <t>Electronics</t>
        </is>
      </c>
      <c r="J61" s="63" t="inlineStr">
        <is>
          <t>TV, Audio / Video, Gaming  Wearables</t>
        </is>
      </c>
      <c r="K61" s="62" t="n">
        <v>637</v>
      </c>
      <c r="L61" s="63" t="inlineStr">
        <is>
          <t>XH-M543 TPA3116D2 TPA3116 120x2W DC12-26V Dual Channel Stereo Digital Audio Power Amplifiers Board Amplification DIY Module</t>
        </is>
      </c>
      <c r="M61" s="76" t="inlineStr">
        <is>
          <t xml:space="preserve">Connected </t>
        </is>
      </c>
      <c r="N61" s="76" t="inlineStr">
        <is>
          <t>Yes</t>
        </is>
      </c>
      <c r="O61" s="76" t="inlineStr">
        <is>
          <t>Yes (on time)</t>
        </is>
      </c>
      <c r="P61" s="76" t="n"/>
      <c r="Q61" s="76" t="n"/>
      <c r="R61" s="76" t="inlineStr">
        <is>
          <t>Yes (timely call/SMS)</t>
        </is>
      </c>
      <c r="S61" s="76" t="inlineStr">
        <is>
          <t>Very polite and helpful</t>
        </is>
      </c>
      <c r="T61" s="76" t="inlineStr">
        <is>
          <t>Yes</t>
        </is>
      </c>
      <c r="U61" s="76" t="n"/>
      <c r="V61" s="76" t="n"/>
      <c r="W61" s="76" t="n">
        <v>10</v>
      </c>
      <c r="X61" s="76" t="n"/>
      <c r="Y61" s="76" t="n"/>
      <c r="Z61" s="76" t="inlineStr">
        <is>
          <t>Positive</t>
        </is>
      </c>
      <c r="AA61" s="79" t="n"/>
    </row>
    <row r="62">
      <c r="A62" s="77" t="n"/>
      <c r="B62" s="78" t="n">
        <v>25092373871918</v>
      </c>
      <c r="C62" s="63" t="inlineStr">
        <is>
          <t>Efat</t>
        </is>
      </c>
      <c r="D62" s="65" t="n"/>
      <c r="E62" s="62" t="n">
        <v>716625</v>
      </c>
      <c r="F62" s="63" t="inlineStr">
        <is>
          <t>Onik Zobair</t>
        </is>
      </c>
      <c r="G62" s="60" t="n">
        <v>1786590207</v>
      </c>
      <c r="H62" s="66" t="inlineStr">
        <is>
          <t>Brahman Baria</t>
        </is>
      </c>
      <c r="I62" s="63" t="inlineStr">
        <is>
          <t>Lifestyle</t>
        </is>
      </c>
      <c r="J62" s="63" t="inlineStr">
        <is>
          <t>Sports  Outdoors</t>
        </is>
      </c>
      <c r="K62" s="62" t="n">
        <v>1300</v>
      </c>
      <c r="L62" s="63" t="inlineStr">
        <is>
          <t>GearUP SG331 Multifunctional Survival Gear</t>
        </is>
      </c>
      <c r="M62" s="76" t="inlineStr">
        <is>
          <t>Not Connected</t>
        </is>
      </c>
      <c r="N62" s="76" t="n"/>
      <c r="O62" s="76" t="n"/>
      <c r="P62" s="76" t="n"/>
      <c r="Q62" s="76" t="n"/>
      <c r="R62" s="76" t="n"/>
      <c r="S62" s="76" t="n"/>
      <c r="T62" s="76" t="n"/>
      <c r="U62" s="76" t="n"/>
      <c r="V62" s="76" t="n"/>
      <c r="W62" s="76" t="n"/>
      <c r="X62" s="76" t="n"/>
      <c r="Y62" s="76" t="n"/>
      <c r="Z62" s="76" t="n"/>
      <c r="AA62" s="79" t="n"/>
    </row>
    <row r="63">
      <c r="A63" s="77" t="n"/>
      <c r="B63" s="78" t="n">
        <v>25092371301339</v>
      </c>
      <c r="C63" s="63" t="inlineStr">
        <is>
          <t>Efat</t>
        </is>
      </c>
      <c r="D63" s="65" t="n"/>
      <c r="E63" s="62" t="n">
        <v>717478</v>
      </c>
      <c r="F63" s="63" t="inlineStr">
        <is>
          <t xml:space="preserve">Mr./Ms. </t>
        </is>
      </c>
      <c r="G63" s="60" t="n">
        <v>1401688656</v>
      </c>
      <c r="H63" s="66" t="inlineStr">
        <is>
          <t>Jhalokathi</t>
        </is>
      </c>
      <c r="I63" s="63" t="inlineStr">
        <is>
          <t>Electronics</t>
        </is>
      </c>
      <c r="J63" s="63" t="inlineStr">
        <is>
          <t>Mobiles  Tablets</t>
        </is>
      </c>
      <c r="K63" s="62" t="n">
        <v>124</v>
      </c>
      <c r="L63" s="63" t="inlineStr">
        <is>
          <t>REMAX OTG Metal USB 3.0 Type C - Connect with Ease - Transfer Data Seamlessly - A Unique Choice For Your Needs</t>
        </is>
      </c>
      <c r="M63" s="76" t="inlineStr">
        <is>
          <t>Not Connected</t>
        </is>
      </c>
      <c r="N63" s="76" t="n"/>
      <c r="O63" s="76" t="n"/>
      <c r="P63" s="76" t="n"/>
      <c r="Q63" s="76" t="n"/>
      <c r="R63" s="76" t="n"/>
      <c r="S63" s="76" t="n"/>
      <c r="T63" s="76" t="n"/>
      <c r="U63" s="76" t="n"/>
      <c r="V63" s="76" t="n"/>
      <c r="W63" s="76" t="n"/>
      <c r="X63" s="76" t="n"/>
      <c r="Y63" s="76" t="n"/>
      <c r="Z63" s="76" t="n"/>
      <c r="AA63" s="79" t="n"/>
    </row>
    <row r="64">
      <c r="A64" s="77" t="n"/>
      <c r="B64" s="78" t="n">
        <v>25092397838713</v>
      </c>
      <c r="C64" s="63" t="inlineStr">
        <is>
          <t>Efat</t>
        </is>
      </c>
      <c r="D64" s="65" t="n"/>
      <c r="E64" s="62" t="n">
        <v>715390</v>
      </c>
      <c r="F64" s="63" t="inlineStr">
        <is>
          <t>Siyam siyam</t>
        </is>
      </c>
      <c r="G64" s="60" t="n">
        <v>1706954787</v>
      </c>
      <c r="H64" s="66" t="inlineStr">
        <is>
          <t>Faridpur</t>
        </is>
      </c>
      <c r="I64" s="63" t="inlineStr">
        <is>
          <t>Electronics</t>
        </is>
      </c>
      <c r="J64" s="63" t="inlineStr">
        <is>
          <t>Mobiles  Tablets</t>
        </is>
      </c>
      <c r="K64" s="62" t="n">
        <v>3922</v>
      </c>
      <c r="L64" s="63" t="inlineStr">
        <is>
          <t>AWEI P101K 60000mAh 22.5w Fast Charging Power Bank</t>
        </is>
      </c>
      <c r="M64" s="76" t="inlineStr">
        <is>
          <t xml:space="preserve">Connected </t>
        </is>
      </c>
      <c r="N64" s="76" t="inlineStr">
        <is>
          <t>Yes</t>
        </is>
      </c>
      <c r="O64" s="76" t="inlineStr">
        <is>
          <t>Yes (on time)</t>
        </is>
      </c>
      <c r="P64" s="76" t="n"/>
      <c r="Q64" s="76" t="n"/>
      <c r="R64" s="76" t="inlineStr">
        <is>
          <t>Yes (timely call/SMS)</t>
        </is>
      </c>
      <c r="S64" s="76" t="inlineStr">
        <is>
          <t>Very polite and helpful</t>
        </is>
      </c>
      <c r="T64" s="76" t="inlineStr">
        <is>
          <t>Yes</t>
        </is>
      </c>
      <c r="U64" s="76" t="n"/>
      <c r="V64" s="76" t="n"/>
      <c r="W64" s="76" t="n">
        <v>7</v>
      </c>
      <c r="X64" s="76" t="n"/>
      <c r="Y64" s="76" t="n"/>
      <c r="Z64" s="76" t="inlineStr">
        <is>
          <t>Neutral</t>
        </is>
      </c>
      <c r="AA64" s="79" t="n"/>
    </row>
    <row r="65">
      <c r="A65" s="77" t="n"/>
      <c r="B65" s="78" t="n">
        <v>25092412303115</v>
      </c>
      <c r="C65" s="63" t="n"/>
      <c r="D65" s="65" t="n"/>
      <c r="E65" s="62" t="n">
        <v>677177</v>
      </c>
      <c r="F65" s="63" t="inlineStr">
        <is>
          <t xml:space="preserve">Mr./Ms. </t>
        </is>
      </c>
      <c r="G65" s="60" t="n">
        <v>1716531786</v>
      </c>
      <c r="H65" s="66" t="inlineStr">
        <is>
          <t>Barisal</t>
        </is>
      </c>
      <c r="I65" s="63" t="inlineStr">
        <is>
          <t>Electronics</t>
        </is>
      </c>
      <c r="J65" s="63" t="inlineStr">
        <is>
          <t>Home Appliances</t>
        </is>
      </c>
      <c r="K65" s="62" t="n">
        <v>1209</v>
      </c>
      <c r="L65" s="63" t="inlineStr">
        <is>
          <t>SMART Electric Kettle 1.8 Ltr SEK-P18ES</t>
        </is>
      </c>
      <c r="M65" s="76" t="n"/>
      <c r="N65" s="76" t="n"/>
      <c r="O65" s="76" t="n"/>
      <c r="P65" s="76" t="n"/>
      <c r="Q65" s="76" t="n"/>
      <c r="R65" s="76" t="n"/>
      <c r="S65" s="76" t="n"/>
      <c r="T65" s="76" t="n"/>
      <c r="U65" s="76" t="n"/>
      <c r="V65" s="76" t="n"/>
      <c r="W65" s="76" t="n"/>
      <c r="X65" s="76" t="n"/>
      <c r="Y65" s="76" t="n"/>
      <c r="Z65" s="76" t="n"/>
      <c r="AA65" s="79" t="n"/>
    </row>
    <row r="66">
      <c r="A66" s="77" t="n"/>
      <c r="B66" s="78" t="n">
        <v>25092466597651</v>
      </c>
      <c r="C66" s="63" t="inlineStr">
        <is>
          <t>Efat</t>
        </is>
      </c>
      <c r="D66" s="65" t="n"/>
      <c r="E66" s="62" t="n">
        <v>713285</v>
      </c>
      <c r="F66" s="63" t="inlineStr">
        <is>
          <t xml:space="preserve">Mr./Ms. </t>
        </is>
      </c>
      <c r="G66" s="60" t="n">
        <v>1568812568</v>
      </c>
      <c r="H66" s="66" t="inlineStr">
        <is>
          <t>Sirajganj</t>
        </is>
      </c>
      <c r="I66" s="63" t="inlineStr">
        <is>
          <t>Electronics</t>
        </is>
      </c>
      <c r="J66" s="63" t="inlineStr">
        <is>
          <t>TV, Audio / Video, Gaming  Wearables</t>
        </is>
      </c>
      <c r="K66" s="62" t="n">
        <v>325</v>
      </c>
      <c r="L66" s="63" t="inlineStr">
        <is>
          <t>Pro 6 Wireless Bluetooth Headphones TWS Earphones Mini Heaset with Charging Case Earbuds for All Phone</t>
        </is>
      </c>
      <c r="M66" s="76" t="inlineStr">
        <is>
          <t xml:space="preserve">Connected </t>
        </is>
      </c>
      <c r="N66" s="76" t="inlineStr">
        <is>
          <t>Yes</t>
        </is>
      </c>
      <c r="O66" s="76" t="inlineStr">
        <is>
          <t>Yes (on time)</t>
        </is>
      </c>
      <c r="P66" s="76" t="n"/>
      <c r="Q66" s="76" t="n"/>
      <c r="R66" s="76" t="inlineStr">
        <is>
          <t>Yes (timely call/SMS)</t>
        </is>
      </c>
      <c r="S66" s="76" t="inlineStr">
        <is>
          <t>Very polite and helpful</t>
        </is>
      </c>
      <c r="T66" s="76" t="inlineStr">
        <is>
          <t>No</t>
        </is>
      </c>
      <c r="U66" s="76" t="n"/>
      <c r="V66" s="76" t="n"/>
      <c r="W66" s="76" t="n">
        <v>7</v>
      </c>
      <c r="X66" s="76" t="n"/>
      <c r="Y66" s="76" t="n"/>
      <c r="Z66" s="76" t="n"/>
      <c r="AA66" s="79" t="n"/>
    </row>
    <row r="67">
      <c r="A67" s="77" t="n"/>
      <c r="B67" s="78" t="n">
        <v>25092397928093</v>
      </c>
      <c r="C67" s="63" t="inlineStr">
        <is>
          <t>Efat</t>
        </is>
      </c>
      <c r="D67" s="65" t="n"/>
      <c r="E67" s="62" t="n">
        <v>714946</v>
      </c>
      <c r="F67" s="63" t="inlineStr">
        <is>
          <t xml:space="preserve">Akram Khan </t>
        </is>
      </c>
      <c r="G67" s="60" t="n">
        <v>1646784696</v>
      </c>
      <c r="H67" s="66" t="inlineStr">
        <is>
          <t>Manikganj</t>
        </is>
      </c>
      <c r="I67" s="63" t="inlineStr">
        <is>
          <t>Electronics</t>
        </is>
      </c>
      <c r="J67" s="63" t="inlineStr">
        <is>
          <t>Mobiles  Tablets</t>
        </is>
      </c>
      <c r="K67" s="62" t="n">
        <v>512</v>
      </c>
      <c r="L67" s="63" t="inlineStr">
        <is>
          <t>Realme 65W Super Vooc fast Charger with USB type-c Cable 1.5M</t>
        </is>
      </c>
      <c r="M67" s="76" t="inlineStr">
        <is>
          <t xml:space="preserve">Connected </t>
        </is>
      </c>
      <c r="N67" s="76" t="inlineStr">
        <is>
          <t>Yes</t>
        </is>
      </c>
      <c r="O67" s="76" t="inlineStr">
        <is>
          <t>Yes (on time)</t>
        </is>
      </c>
      <c r="P67" s="76" t="n"/>
      <c r="Q67" s="76" t="n"/>
      <c r="R67" s="76" t="inlineStr">
        <is>
          <t>Yes (timely call/SMS)</t>
        </is>
      </c>
      <c r="S67" s="76" t="inlineStr">
        <is>
          <t>Very polite and helpful</t>
        </is>
      </c>
      <c r="T67" s="76" t="inlineStr">
        <is>
          <t>Yes</t>
        </is>
      </c>
      <c r="U67" s="76" t="inlineStr">
        <is>
          <t>satisfied</t>
        </is>
      </c>
      <c r="V67" s="76" t="n"/>
      <c r="W67" s="76" t="n">
        <v>10</v>
      </c>
      <c r="X67" s="76" t="n"/>
      <c r="Y67" s="76" t="n"/>
      <c r="Z67" s="76" t="inlineStr">
        <is>
          <t>Positive</t>
        </is>
      </c>
      <c r="AA67" s="79" t="n"/>
    </row>
    <row r="68">
      <c r="A68" s="77" t="n"/>
      <c r="B68" s="78" t="n">
        <v>25092481007800</v>
      </c>
      <c r="C68" s="63" t="inlineStr">
        <is>
          <t>Efat</t>
        </is>
      </c>
      <c r="D68" s="65" t="n"/>
      <c r="E68" s="62" t="n">
        <v>721403</v>
      </c>
      <c r="F68" s="63" t="inlineStr">
        <is>
          <t xml:space="preserve">Mr./Ms. </t>
        </is>
      </c>
      <c r="G68" s="60" t="n">
        <v>1788155262</v>
      </c>
      <c r="H68" s="61" t="inlineStr">
        <is>
          <t>Gaibandha</t>
        </is>
      </c>
      <c r="I68" s="63" t="inlineStr">
        <is>
          <t>Fashion</t>
        </is>
      </c>
      <c r="J68" s="63" t="inlineStr">
        <is>
          <t>Fashion</t>
        </is>
      </c>
      <c r="K68" s="62" t="n">
        <v>556</v>
      </c>
      <c r="L68" s="63" t="inlineStr">
        <is>
          <t>Rain Coats for Men Waterproof Jacket and Pant with Bag blue</t>
        </is>
      </c>
      <c r="M68" s="76" t="inlineStr">
        <is>
          <t>Not Connected</t>
        </is>
      </c>
      <c r="N68" s="76" t="n"/>
      <c r="O68" s="76" t="n"/>
      <c r="P68" s="76" t="n"/>
      <c r="Q68" s="76" t="n"/>
      <c r="R68" s="76" t="n"/>
      <c r="S68" s="76" t="n"/>
      <c r="T68" s="76" t="n"/>
      <c r="U68" s="76" t="n"/>
      <c r="V68" s="76" t="n"/>
      <c r="W68" s="76" t="n"/>
      <c r="X68" s="76" t="n"/>
      <c r="Y68" s="76" t="n"/>
      <c r="Z68" s="76" t="n"/>
      <c r="AA68" s="79" t="n"/>
    </row>
    <row r="69">
      <c r="A69" s="77" t="n"/>
      <c r="B69" s="78" t="n">
        <v>25092485399229</v>
      </c>
      <c r="C69" s="63" t="inlineStr">
        <is>
          <t>Efat</t>
        </is>
      </c>
      <c r="D69" s="65" t="n"/>
      <c r="E69" s="62" t="n">
        <v>618970</v>
      </c>
      <c r="F69" s="63" t="inlineStr">
        <is>
          <t xml:space="preserve">ছোট্ট হুজুর </t>
        </is>
      </c>
      <c r="G69" s="60" t="n">
        <v>1407618261</v>
      </c>
      <c r="H69" s="61" t="inlineStr">
        <is>
          <t>Satkhira</t>
        </is>
      </c>
      <c r="I69" s="63" t="inlineStr">
        <is>
          <t>Electronics</t>
        </is>
      </c>
      <c r="J69" s="63" t="inlineStr">
        <is>
          <t>Cameras</t>
        </is>
      </c>
      <c r="K69" s="62" t="n">
        <v>340</v>
      </c>
      <c r="L69" s="63" t="inlineStr">
        <is>
          <t>Tripod 3120 Camera Stand With Phone Holder Clip - Black</t>
        </is>
      </c>
      <c r="M69" s="76" t="inlineStr">
        <is>
          <t xml:space="preserve">Connected </t>
        </is>
      </c>
      <c r="N69" s="76" t="inlineStr">
        <is>
          <t>Yes</t>
        </is>
      </c>
      <c r="O69" s="76" t="inlineStr">
        <is>
          <t>Yes (on time)</t>
        </is>
      </c>
      <c r="P69" s="76" t="n"/>
      <c r="Q69" s="76" t="n"/>
      <c r="R69" s="76" t="inlineStr">
        <is>
          <t>Yes (timely call/SMS)</t>
        </is>
      </c>
      <c r="S69" s="76" t="inlineStr">
        <is>
          <t>Very polite and helpful</t>
        </is>
      </c>
      <c r="T69" s="76" t="inlineStr">
        <is>
          <t>Yes</t>
        </is>
      </c>
      <c r="U69" s="76" t="n"/>
      <c r="V69" s="76" t="n"/>
      <c r="W69" s="76" t="n">
        <v>10</v>
      </c>
      <c r="X69" s="76" t="n"/>
      <c r="Y69" s="76" t="n"/>
      <c r="Z69" s="76" t="inlineStr">
        <is>
          <t>Positive</t>
        </is>
      </c>
      <c r="AA69" s="79" t="n"/>
    </row>
    <row r="70">
      <c r="A70" s="77" t="n"/>
      <c r="B70" s="78" t="n">
        <v>25092486449189</v>
      </c>
      <c r="C70" s="63" t="inlineStr">
        <is>
          <t>Efat</t>
        </is>
      </c>
      <c r="D70" s="65" t="n"/>
      <c r="E70" s="62" t="n">
        <v>719857</v>
      </c>
      <c r="F70" s="63" t="inlineStr">
        <is>
          <t xml:space="preserve">Mahbubur Rahman </t>
        </is>
      </c>
      <c r="G70" s="60" t="n">
        <v>1611176960</v>
      </c>
      <c r="H70" s="61" t="inlineStr">
        <is>
          <t>Jashore</t>
        </is>
      </c>
      <c r="I70" s="63" t="inlineStr">
        <is>
          <t>Fashion</t>
        </is>
      </c>
      <c r="J70" s="63" t="inlineStr">
        <is>
          <t>Bags and Travel</t>
        </is>
      </c>
      <c r="K70" s="62" t="n">
        <v>258</v>
      </c>
      <c r="L70" s="63" t="inlineStr">
        <is>
          <t>Avro Premium Men's High Quality Money And Card Holder Mini Wallet For Men Made By 100% Cow Leather Money Bag For Man</t>
        </is>
      </c>
      <c r="M70" s="76" t="inlineStr">
        <is>
          <t>Not Connected</t>
        </is>
      </c>
      <c r="N70" s="76" t="n"/>
      <c r="O70" s="76" t="n"/>
      <c r="P70" s="76" t="n"/>
      <c r="Q70" s="76" t="n"/>
      <c r="R70" s="76" t="n"/>
      <c r="S70" s="76" t="n"/>
      <c r="T70" s="76" t="n"/>
      <c r="U70" s="76" t="n"/>
      <c r="V70" s="76" t="n"/>
      <c r="W70" s="76" t="n"/>
      <c r="X70" s="76" t="n"/>
      <c r="Y70" s="76" t="n"/>
      <c r="Z70" s="76" t="n"/>
      <c r="AA70" s="79" t="n"/>
    </row>
    <row r="71">
      <c r="A71" s="77" t="n"/>
      <c r="B71" s="78" t="n">
        <v>25092511455900</v>
      </c>
      <c r="C71" s="63" t="inlineStr">
        <is>
          <t>Efat</t>
        </is>
      </c>
      <c r="D71" s="65" t="n"/>
      <c r="E71" s="62" t="n">
        <v>722981</v>
      </c>
      <c r="F71" s="63" t="inlineStr">
        <is>
          <t>Zillur Rahman</t>
        </is>
      </c>
      <c r="G71" s="60" t="n">
        <v>1911056392</v>
      </c>
      <c r="H71" s="66" t="inlineStr">
        <is>
          <t>Brahman Baria</t>
        </is>
      </c>
      <c r="I71" s="63" t="inlineStr">
        <is>
          <t>Lifestyle</t>
        </is>
      </c>
      <c r="J71" s="63" t="inlineStr">
        <is>
          <t>Kitchen  Dining</t>
        </is>
      </c>
      <c r="K71" s="62" t="n">
        <v>279</v>
      </c>
      <c r="L71" s="63" t="inlineStr">
        <is>
          <t>RFL SS Single Wall Water Bottle 650ML 623363 Any color</t>
        </is>
      </c>
      <c r="M71" s="76" t="inlineStr">
        <is>
          <t xml:space="preserve">Connected </t>
        </is>
      </c>
      <c r="N71" s="76" t="inlineStr">
        <is>
          <t>Yes</t>
        </is>
      </c>
      <c r="O71" s="76" t="inlineStr">
        <is>
          <t>Yes (on time)</t>
        </is>
      </c>
      <c r="P71" s="76" t="n"/>
      <c r="Q71" s="76" t="n"/>
      <c r="R71" s="76" t="inlineStr">
        <is>
          <t>Yes (timely call/SMS)</t>
        </is>
      </c>
      <c r="S71" s="76" t="inlineStr">
        <is>
          <t>Very polite and helpful</t>
        </is>
      </c>
      <c r="T71" s="76" t="inlineStr">
        <is>
          <t>No</t>
        </is>
      </c>
      <c r="U71" s="83" t="n"/>
      <c r="V71" s="76" t="n"/>
      <c r="W71" s="76" t="n">
        <v>9</v>
      </c>
      <c r="X71" s="76" t="n"/>
      <c r="Y71" s="76" t="n"/>
      <c r="Z71" s="76" t="inlineStr">
        <is>
          <t>Positive</t>
        </is>
      </c>
      <c r="AA71" s="79" t="n"/>
    </row>
    <row r="72">
      <c r="A72" s="77" t="n"/>
      <c r="B72" s="78" t="n">
        <v>25092518734508</v>
      </c>
      <c r="C72" s="63" t="inlineStr">
        <is>
          <t>Efat</t>
        </is>
      </c>
      <c r="D72" s="65" t="n"/>
      <c r="E72" s="62" t="n">
        <v>724025</v>
      </c>
      <c r="F72" s="63" t="inlineStr">
        <is>
          <t>Prozzal Karim</t>
        </is>
      </c>
      <c r="G72" s="60" t="n">
        <v>1603614093</v>
      </c>
      <c r="H72" s="66" t="inlineStr">
        <is>
          <t>Savar</t>
        </is>
      </c>
      <c r="I72" s="63" t="inlineStr">
        <is>
          <t>Fashion</t>
        </is>
      </c>
      <c r="J72" s="63" t="inlineStr">
        <is>
          <t>Watches Sunglasses Jewellery</t>
        </is>
      </c>
      <c r="K72" s="62" t="n">
        <v>199</v>
      </c>
      <c r="L72" s="63" t="inlineStr">
        <is>
          <t>Olevs Men Leather Analoge Quartz Fashion Watch for Men</t>
        </is>
      </c>
      <c r="M72" s="76" t="inlineStr">
        <is>
          <t xml:space="preserve">Connected </t>
        </is>
      </c>
      <c r="N72" s="76" t="inlineStr">
        <is>
          <t>No</t>
        </is>
      </c>
      <c r="O72" s="76" t="n"/>
      <c r="P72" s="76" t="n"/>
      <c r="Q72" s="76" t="n"/>
      <c r="R72" s="76" t="n"/>
      <c r="S72" s="76" t="n"/>
      <c r="T72" s="76" t="n"/>
      <c r="U72" s="76" t="n"/>
      <c r="V72" s="76" t="n"/>
      <c r="W72" s="76" t="n"/>
      <c r="X72" s="76" t="n"/>
      <c r="Y72" s="76" t="n"/>
      <c r="Z72" s="76" t="n"/>
      <c r="AA72" s="79" t="n"/>
    </row>
    <row r="73">
      <c r="A73" s="77" t="n"/>
      <c r="B73" s="78" t="n">
        <v>25092610404051</v>
      </c>
      <c r="C73" s="63" t="inlineStr">
        <is>
          <t>Efat</t>
        </is>
      </c>
      <c r="D73" s="65" t="n"/>
      <c r="E73" s="62" t="n">
        <v>362075</v>
      </c>
      <c r="F73" s="63" t="inlineStr">
        <is>
          <t>Mahmud Hasan dipu</t>
        </is>
      </c>
      <c r="G73" s="60" t="n">
        <v>1711429127</v>
      </c>
      <c r="H73" s="66" t="inlineStr">
        <is>
          <t>Chattogram Sadar</t>
        </is>
      </c>
      <c r="I73" s="63" t="inlineStr">
        <is>
          <t>FMCG</t>
        </is>
      </c>
      <c r="J73" s="63" t="inlineStr">
        <is>
          <t>Health  Beauty</t>
        </is>
      </c>
      <c r="K73" s="62" t="n">
        <v>309</v>
      </c>
      <c r="L73" s="63" t="inlineStr">
        <is>
          <t>Parachute Hair Oil Advansed Aloe Vera Enriched Coconut 150ml Pack of 2 (150ml x 2)</t>
        </is>
      </c>
      <c r="M73" s="76" t="inlineStr">
        <is>
          <t xml:space="preserve">Connected </t>
        </is>
      </c>
      <c r="N73" s="76" t="inlineStr">
        <is>
          <t>Yes</t>
        </is>
      </c>
      <c r="O73" s="76" t="inlineStr">
        <is>
          <t>Yes (on time)</t>
        </is>
      </c>
      <c r="P73" s="76" t="n"/>
      <c r="Q73" s="76" t="n"/>
      <c r="R73" s="76" t="inlineStr">
        <is>
          <t>Yes (timely call/SMS)</t>
        </is>
      </c>
      <c r="S73" s="76" t="inlineStr">
        <is>
          <t>Neutral</t>
        </is>
      </c>
      <c r="T73" s="76" t="inlineStr">
        <is>
          <t>No</t>
        </is>
      </c>
      <c r="U73" s="76" t="n"/>
      <c r="V73" s="76" t="n"/>
      <c r="W73" s="76" t="n">
        <v>7</v>
      </c>
      <c r="X73" s="76" t="n"/>
      <c r="Y73" s="76" t="n"/>
      <c r="Z73" s="76" t="inlineStr">
        <is>
          <t>Neutral</t>
        </is>
      </c>
      <c r="AA73" s="79" t="n"/>
    </row>
    <row r="74">
      <c r="A74" s="77" t="n"/>
      <c r="B74" s="78" t="n">
        <v>25092579020932</v>
      </c>
      <c r="C74" s="63" t="inlineStr">
        <is>
          <t>Efat</t>
        </is>
      </c>
      <c r="D74" s="65" t="n"/>
      <c r="E74" s="62" t="n">
        <v>719958</v>
      </c>
      <c r="F74" s="63" t="inlineStr">
        <is>
          <t xml:space="preserve">Ataur Rahman </t>
        </is>
      </c>
      <c r="G74" s="60" t="n">
        <v>1516544835</v>
      </c>
      <c r="H74" s="66" t="inlineStr">
        <is>
          <t>Chattogram Sadar</t>
        </is>
      </c>
      <c r="I74" s="63" t="inlineStr">
        <is>
          <t>FMCG</t>
        </is>
      </c>
      <c r="J74" s="63" t="inlineStr">
        <is>
          <t>Groceries</t>
        </is>
      </c>
      <c r="K74" s="62" t="n">
        <v>18</v>
      </c>
      <c r="L74" s="63" t="inlineStr">
        <is>
          <t>Partex Cleen Toilet Tissue White (2 Ply Regular) - Ultra Soft</t>
        </is>
      </c>
      <c r="M74" s="76" t="inlineStr">
        <is>
          <t xml:space="preserve">Connected </t>
        </is>
      </c>
      <c r="N74" s="76" t="inlineStr">
        <is>
          <t>Yes</t>
        </is>
      </c>
      <c r="O74" s="76" t="n"/>
      <c r="P74" s="76" t="n"/>
      <c r="Q74" s="76" t="n"/>
      <c r="R74" s="76" t="n"/>
      <c r="S74" s="76" t="n"/>
      <c r="T74" s="76" t="n"/>
      <c r="U74" s="76" t="n"/>
      <c r="V74" s="76" t="n"/>
      <c r="W74" s="76" t="n"/>
      <c r="X74" s="76" t="n"/>
      <c r="Y74" s="76" t="n"/>
      <c r="Z74" s="76" t="n"/>
      <c r="AA74" s="79" t="n"/>
    </row>
    <row r="75">
      <c r="A75" s="77" t="n"/>
      <c r="B75" s="78" t="n">
        <v>25092618269233</v>
      </c>
      <c r="C75" s="63" t="inlineStr">
        <is>
          <t>Efat</t>
        </is>
      </c>
      <c r="D75" s="65" t="n"/>
      <c r="E75" s="62" t="n">
        <v>521418</v>
      </c>
      <c r="F75" s="63" t="inlineStr">
        <is>
          <t>MD SHOHEL</t>
        </is>
      </c>
      <c r="G75" s="60" t="n">
        <v>1880212837</v>
      </c>
      <c r="H75" s="66" t="inlineStr">
        <is>
          <t>Kishoreganj</t>
        </is>
      </c>
      <c r="I75" s="63" t="inlineStr">
        <is>
          <t>Electronics</t>
        </is>
      </c>
      <c r="J75" s="63" t="inlineStr">
        <is>
          <t>Home Appliances</t>
        </is>
      </c>
      <c r="K75" s="62" t="n">
        <v>1149</v>
      </c>
      <c r="L75" s="63" t="inlineStr">
        <is>
          <t>I Nima Electric Grinder - Wet and Dry Multipurpose With Large Capacity । Coffee, Beans, Nuts, Fruits High Speed Grinder &amp; Blender Machine</t>
        </is>
      </c>
      <c r="M75" s="76" t="inlineStr">
        <is>
          <t xml:space="preserve">Connected </t>
        </is>
      </c>
      <c r="N75" s="76" t="inlineStr">
        <is>
          <t>Yes</t>
        </is>
      </c>
      <c r="O75" s="76" t="inlineStr">
        <is>
          <t>Yes (on time)</t>
        </is>
      </c>
      <c r="P75" s="76" t="n"/>
      <c r="Q75" s="76" t="n"/>
      <c r="R75" s="76" t="inlineStr">
        <is>
          <t>Yes (timely call/SMS)</t>
        </is>
      </c>
      <c r="S75" s="76" t="inlineStr">
        <is>
          <t>Very polite and helpful</t>
        </is>
      </c>
      <c r="T75" s="76" t="inlineStr">
        <is>
          <t>No</t>
        </is>
      </c>
      <c r="U75" s="76" t="n"/>
      <c r="V75" s="76" t="n"/>
      <c r="W75" s="76" t="n">
        <v>9</v>
      </c>
      <c r="X75" s="76" t="n"/>
      <c r="Y75" s="76" t="n"/>
      <c r="Z75" s="76" t="inlineStr">
        <is>
          <t>Positive</t>
        </is>
      </c>
      <c r="AA75" s="79" t="n"/>
    </row>
    <row r="76">
      <c r="A76" s="77" t="n"/>
      <c r="B76" s="78" t="n">
        <v>25092634422813</v>
      </c>
      <c r="C76" s="63" t="inlineStr">
        <is>
          <t>Efat</t>
        </is>
      </c>
      <c r="D76" s="65" t="n"/>
      <c r="E76" s="62" t="n">
        <v>626019</v>
      </c>
      <c r="F76" s="63" t="inlineStr">
        <is>
          <t xml:space="preserve">Mr./Ms. </t>
        </is>
      </c>
      <c r="G76" s="60" t="n">
        <v>1842411031</v>
      </c>
      <c r="H76" s="66" t="inlineStr">
        <is>
          <t>Bhola</t>
        </is>
      </c>
      <c r="I76" s="63" t="inlineStr">
        <is>
          <t>Fashion</t>
        </is>
      </c>
      <c r="J76" s="63" t="inlineStr">
        <is>
          <t>Fashion</t>
        </is>
      </c>
      <c r="K76" s="62" t="n">
        <v>588</v>
      </c>
      <c r="L76" s="63" t="inlineStr">
        <is>
          <t>New T-shirt For men - Very soft</t>
        </is>
      </c>
      <c r="M76" s="76" t="inlineStr">
        <is>
          <t xml:space="preserve">Connected </t>
        </is>
      </c>
      <c r="N76" s="76" t="inlineStr">
        <is>
          <t>Yes</t>
        </is>
      </c>
      <c r="O76" s="76" t="inlineStr">
        <is>
          <t>Yes (on time)</t>
        </is>
      </c>
      <c r="P76" s="76" t="n"/>
      <c r="Q76" s="76" t="n"/>
      <c r="R76" s="76" t="inlineStr">
        <is>
          <t>Contacted last moment</t>
        </is>
      </c>
      <c r="S76" s="76" t="inlineStr">
        <is>
          <t>Very polite and helpful</t>
        </is>
      </c>
      <c r="T76" s="76" t="inlineStr">
        <is>
          <t>Yes</t>
        </is>
      </c>
      <c r="U76" s="76" t="n"/>
      <c r="V76" s="76" t="n"/>
      <c r="W76" s="76" t="n">
        <v>10</v>
      </c>
      <c r="X76" s="76" t="n"/>
      <c r="Y76" s="76" t="n"/>
      <c r="Z76" s="76" t="inlineStr">
        <is>
          <t>Positive</t>
        </is>
      </c>
      <c r="AA76" s="79" t="n"/>
    </row>
    <row r="77">
      <c r="A77" s="77" t="n"/>
      <c r="B77" s="78" t="n">
        <v>25092638536529</v>
      </c>
      <c r="C77" s="63" t="inlineStr">
        <is>
          <t>Efat</t>
        </is>
      </c>
      <c r="D77" s="65" t="n"/>
      <c r="E77" s="62" t="n">
        <v>724064</v>
      </c>
      <c r="F77" s="63" t="inlineStr">
        <is>
          <t xml:space="preserve">Mr./Ms. </t>
        </is>
      </c>
      <c r="G77" s="60" t="n">
        <v>1781799984</v>
      </c>
      <c r="H77" s="66" t="inlineStr">
        <is>
          <t>Habiganj</t>
        </is>
      </c>
      <c r="I77" s="63" t="inlineStr">
        <is>
          <t>Fashion</t>
        </is>
      </c>
      <c r="J77" s="63" t="inlineStr">
        <is>
          <t>Fashion</t>
        </is>
      </c>
      <c r="K77" s="62" t="n">
        <v>1098</v>
      </c>
      <c r="L77" s="63" t="inlineStr">
        <is>
          <t>Fashionable Diamont Printing Organza Gown Dress For All</t>
        </is>
      </c>
      <c r="M77" s="76" t="inlineStr">
        <is>
          <t>Not Connected</t>
        </is>
      </c>
      <c r="N77" s="76" t="n"/>
      <c r="O77" s="76" t="n"/>
      <c r="P77" s="76" t="n"/>
      <c r="Q77" s="76" t="n"/>
      <c r="R77" s="76" t="n"/>
      <c r="S77" s="76" t="n"/>
      <c r="T77" s="76" t="n"/>
      <c r="U77" s="76" t="n"/>
      <c r="V77" s="76" t="n"/>
      <c r="W77" s="76" t="n"/>
      <c r="X77" s="76" t="n"/>
      <c r="Y77" s="76" t="n"/>
      <c r="Z77" s="76" t="n"/>
      <c r="AA77" s="79" t="n"/>
    </row>
    <row r="78">
      <c r="A78" s="77" t="n"/>
      <c r="B78" s="78" t="n">
        <v>25092659047521</v>
      </c>
      <c r="C78" s="63" t="inlineStr">
        <is>
          <t>Efat</t>
        </is>
      </c>
      <c r="D78" s="65" t="n"/>
      <c r="E78" s="62" t="n">
        <v>492539</v>
      </c>
      <c r="F78" s="63" t="inlineStr">
        <is>
          <t>Emran Hossin</t>
        </is>
      </c>
      <c r="G78" s="60" t="n">
        <v>1756290095</v>
      </c>
      <c r="H78" s="61" t="inlineStr">
        <is>
          <t>Pirojpur</t>
        </is>
      </c>
      <c r="I78" s="63" t="inlineStr">
        <is>
          <t>Electronics</t>
        </is>
      </c>
      <c r="J78" s="63" t="inlineStr">
        <is>
          <t>Mobiles  Tablets</t>
        </is>
      </c>
      <c r="K78" s="62" t="n">
        <v>129</v>
      </c>
      <c r="L78" s="63" t="inlineStr">
        <is>
          <t xml:space="preserve">3 in 1 USB Cable by UiiSii for Android Travel Multi Fast Charging Charger </t>
        </is>
      </c>
      <c r="M78" s="76" t="inlineStr">
        <is>
          <t xml:space="preserve">Connected </t>
        </is>
      </c>
      <c r="N78" s="76" t="inlineStr">
        <is>
          <t>Yes</t>
        </is>
      </c>
      <c r="O78" s="76" t="inlineStr">
        <is>
          <t>Yes (on time)</t>
        </is>
      </c>
      <c r="P78" s="76" t="n"/>
      <c r="Q78" s="76" t="n"/>
      <c r="R78" s="76" t="inlineStr">
        <is>
          <t>Yes (timely call/SMS)</t>
        </is>
      </c>
      <c r="S78" s="76" t="inlineStr">
        <is>
          <t>Very polite and helpful</t>
        </is>
      </c>
      <c r="T78" s="76" t="inlineStr">
        <is>
          <t>Didn't check</t>
        </is>
      </c>
      <c r="V78" s="76" t="n"/>
      <c r="W78" s="76" t="n">
        <v>9</v>
      </c>
      <c r="X78" s="76" t="inlineStr">
        <is>
          <t>Delivery and Return process is lengthy</t>
        </is>
      </c>
      <c r="Y78" s="76" t="n"/>
      <c r="Z78" s="76" t="inlineStr">
        <is>
          <t>Neutral</t>
        </is>
      </c>
      <c r="AA78" s="79" t="n"/>
    </row>
    <row r="79">
      <c r="A79" s="77" t="n"/>
      <c r="B79" s="78" t="n">
        <v>25092664829772</v>
      </c>
      <c r="C79" s="63" t="inlineStr">
        <is>
          <t>Efat</t>
        </is>
      </c>
      <c r="D79" s="65" t="n"/>
      <c r="E79" s="62" t="n">
        <v>698693</v>
      </c>
      <c r="F79" s="63" t="inlineStr">
        <is>
          <t>MD Tamim Bhuiyan</t>
        </is>
      </c>
      <c r="G79" s="60" t="n">
        <v>1997741207</v>
      </c>
      <c r="H79" s="61" t="inlineStr">
        <is>
          <t>Munsiganj</t>
        </is>
      </c>
      <c r="I79" s="63" t="inlineStr">
        <is>
          <t>Lifestyle</t>
        </is>
      </c>
      <c r="J79" s="63" t="inlineStr">
        <is>
          <t>Kitchen  Dining</t>
        </is>
      </c>
      <c r="K79" s="62" t="n">
        <v>249</v>
      </c>
      <c r="L79" s="63" t="inlineStr">
        <is>
          <t>500ml Thermos Stainless steel tumbler insulated water bottle cute coffee thermos cup LED Touch Display Temperature Vacuum Flasks Drinkware smart hot water bottle travel bottle</t>
        </is>
      </c>
      <c r="M79" s="76" t="inlineStr">
        <is>
          <t>Not Connected</t>
        </is>
      </c>
      <c r="N79" s="76" t="n"/>
      <c r="O79" s="76" t="n"/>
      <c r="P79" s="76" t="n"/>
      <c r="Q79" s="76" t="n"/>
      <c r="R79" s="76" t="n"/>
      <c r="S79" s="76" t="n"/>
      <c r="T79" s="76" t="n"/>
      <c r="U79" s="76" t="n"/>
      <c r="V79" s="76" t="n"/>
      <c r="W79" s="76" t="n"/>
      <c r="X79" s="76" t="n"/>
      <c r="Y79" s="76" t="n"/>
      <c r="Z79" s="76" t="n"/>
      <c r="AA79" s="79" t="n"/>
    </row>
    <row r="80">
      <c r="A80" s="77" t="n"/>
      <c r="B80" s="78" t="n">
        <v>25092697230485</v>
      </c>
      <c r="C80" s="63" t="inlineStr">
        <is>
          <t>Efat</t>
        </is>
      </c>
      <c r="D80" s="65" t="n"/>
      <c r="E80" s="62" t="n">
        <v>727018</v>
      </c>
      <c r="F80" s="63" t="inlineStr">
        <is>
          <t xml:space="preserve">Mr./Ms. </t>
        </is>
      </c>
      <c r="G80" s="60" t="n">
        <v>1775882200</v>
      </c>
      <c r="H80" s="61" t="inlineStr">
        <is>
          <t>Rajshahi</t>
        </is>
      </c>
      <c r="I80" s="63" t="inlineStr">
        <is>
          <t>Electronics</t>
        </is>
      </c>
      <c r="J80" s="63" t="inlineStr">
        <is>
          <t>Mobiles  Tablets</t>
        </is>
      </c>
      <c r="K80" s="62" t="n">
        <v>2196</v>
      </c>
      <c r="L80" s="63" t="inlineStr">
        <is>
          <t>Itel it2163 Feature Phone Dual Sim</t>
        </is>
      </c>
      <c r="M80" s="76" t="inlineStr">
        <is>
          <t xml:space="preserve">Connected </t>
        </is>
      </c>
      <c r="N80" s="76" t="inlineStr">
        <is>
          <t>No</t>
        </is>
      </c>
      <c r="O80" s="76" t="n"/>
      <c r="P80" s="76" t="n"/>
      <c r="Q80" s="76" t="n"/>
      <c r="R80" s="76" t="n"/>
      <c r="S80" s="76" t="n"/>
      <c r="T80" s="76" t="n"/>
      <c r="U80" s="76" t="n"/>
      <c r="V80" s="76" t="n"/>
      <c r="W80" s="76" t="n"/>
      <c r="X80" s="76" t="n"/>
      <c r="Y80" s="76" t="n"/>
      <c r="Z80" s="76" t="n"/>
      <c r="AA80" s="79" t="n"/>
    </row>
    <row r="81">
      <c r="A81" s="77" t="n"/>
      <c r="B81" s="78" t="n">
        <v>25092715312850</v>
      </c>
      <c r="C81" s="63" t="inlineStr">
        <is>
          <t>Efat</t>
        </is>
      </c>
      <c r="D81" s="65" t="n"/>
      <c r="E81" s="62" t="n">
        <v>727672</v>
      </c>
      <c r="F81" s="63" t="inlineStr">
        <is>
          <t xml:space="preserve">Mr./Ms. </t>
        </is>
      </c>
      <c r="G81" s="60" t="n">
        <v>1981917556</v>
      </c>
      <c r="H81" s="66" t="inlineStr">
        <is>
          <t>Rangpur</t>
        </is>
      </c>
      <c r="I81" s="63" t="inlineStr">
        <is>
          <t>FMCG</t>
        </is>
      </c>
      <c r="J81" s="63" t="inlineStr">
        <is>
          <t>Health  Beauty</t>
        </is>
      </c>
      <c r="K81" s="62" t="n">
        <v>320</v>
      </c>
      <c r="L81" s="63" t="inlineStr">
        <is>
          <t>Lafz Men's Body Spray No Alcohol 100gm - Kayani Dastoor</t>
        </is>
      </c>
      <c r="M81" s="76" t="inlineStr">
        <is>
          <t xml:space="preserve">Connected </t>
        </is>
      </c>
      <c r="N81" s="76" t="inlineStr">
        <is>
          <t>No</t>
        </is>
      </c>
      <c r="O81" s="76" t="n"/>
      <c r="P81" s="76" t="n"/>
      <c r="Q81" s="76" t="n"/>
      <c r="R81" s="76" t="n"/>
      <c r="S81" s="76" t="n"/>
      <c r="T81" s="76" t="n"/>
      <c r="U81" s="76" t="n"/>
      <c r="V81" s="76" t="n"/>
      <c r="W81" s="76" t="n"/>
      <c r="X81" s="76" t="n"/>
      <c r="Y81" s="76" t="n"/>
      <c r="Z81" s="76" t="n"/>
      <c r="AA81" s="79" t="n"/>
    </row>
    <row r="82">
      <c r="A82" s="77" t="n"/>
      <c r="B82" s="78" t="n">
        <v>25092699225501</v>
      </c>
      <c r="C82" s="63" t="inlineStr">
        <is>
          <t>Efat</t>
        </is>
      </c>
      <c r="D82" s="65" t="n"/>
      <c r="E82" s="62" t="n">
        <v>656031</v>
      </c>
      <c r="F82" s="63" t="inlineStr">
        <is>
          <t xml:space="preserve">Mr./Ms. </t>
        </is>
      </c>
      <c r="G82" s="60" t="n">
        <v>1920167100</v>
      </c>
      <c r="H82" s="66" t="inlineStr">
        <is>
          <t>Cumilla</t>
        </is>
      </c>
      <c r="I82" s="63" t="inlineStr">
        <is>
          <t>FMCG</t>
        </is>
      </c>
      <c r="J82" s="63" t="inlineStr">
        <is>
          <t>Groceries</t>
        </is>
      </c>
      <c r="K82" s="62" t="n">
        <v>378</v>
      </c>
      <c r="L82" s="63" t="inlineStr">
        <is>
          <t>Unilever Pureit Classic Microfibre Mesh (Water Purifier)</t>
        </is>
      </c>
      <c r="M82" s="76" t="inlineStr">
        <is>
          <t xml:space="preserve">Connected </t>
        </is>
      </c>
      <c r="N82" s="76" t="inlineStr">
        <is>
          <t>Yes</t>
        </is>
      </c>
      <c r="O82" s="76" t="inlineStr">
        <is>
          <t>Yes (on time)</t>
        </is>
      </c>
      <c r="P82" s="76" t="n"/>
      <c r="Q82" s="76" t="n"/>
      <c r="R82" s="76" t="inlineStr">
        <is>
          <t>Yes (timely call/SMS)</t>
        </is>
      </c>
      <c r="S82" s="76" t="inlineStr">
        <is>
          <t>Very polite and helpful</t>
        </is>
      </c>
      <c r="T82" s="76" t="inlineStr">
        <is>
          <t>No</t>
        </is>
      </c>
      <c r="U82" s="76" t="inlineStr">
        <is>
          <t>Delivery team doesnt take any otp while delivering</t>
        </is>
      </c>
      <c r="V82" s="76" t="n"/>
      <c r="W82" s="76" t="n">
        <v>8</v>
      </c>
      <c r="X82" s="76" t="inlineStr">
        <is>
          <t>Return Process could have been slightly faster</t>
        </is>
      </c>
      <c r="Y82" s="76" t="n"/>
      <c r="Z82" s="76" t="inlineStr">
        <is>
          <t>Neutral</t>
        </is>
      </c>
      <c r="AA82" s="79" t="n"/>
    </row>
    <row r="83">
      <c r="A83" s="77" t="n"/>
      <c r="B83" s="78" t="n">
        <v>25092759835199</v>
      </c>
      <c r="C83" s="63" t="inlineStr">
        <is>
          <t>Efat</t>
        </is>
      </c>
      <c r="D83" s="65" t="n"/>
      <c r="E83" s="62" t="n">
        <v>171036</v>
      </c>
      <c r="F83" s="63" t="inlineStr">
        <is>
          <t>Siyam Khan Khan</t>
        </is>
      </c>
      <c r="G83" s="60" t="n">
        <v>1706954787</v>
      </c>
      <c r="H83" s="66" t="inlineStr">
        <is>
          <t>Faridpur</t>
        </is>
      </c>
      <c r="I83" s="63" t="inlineStr">
        <is>
          <t>Lifestyle</t>
        </is>
      </c>
      <c r="J83" s="63" t="inlineStr">
        <is>
          <t>Tools, DIY  Outdoor</t>
        </is>
      </c>
      <c r="K83" s="62" t="n">
        <v>584</v>
      </c>
      <c r="L83" s="63" t="inlineStr">
        <is>
          <t xml:space="preserve">908 Soldering Iron Adjustable Soldering Iron 908 220V 60W </t>
        </is>
      </c>
      <c r="M83" s="76" t="inlineStr">
        <is>
          <t xml:space="preserve">Connected </t>
        </is>
      </c>
      <c r="N83" s="76" t="inlineStr">
        <is>
          <t>Yes</t>
        </is>
      </c>
      <c r="O83" s="76" t="inlineStr">
        <is>
          <t>Yes (on time)</t>
        </is>
      </c>
      <c r="P83" s="76" t="n"/>
      <c r="Q83" s="76" t="n"/>
      <c r="R83" s="76" t="inlineStr">
        <is>
          <t>Yes (timely call/SMS)</t>
        </is>
      </c>
      <c r="S83" s="76" t="inlineStr">
        <is>
          <t>Very polite and helpful</t>
        </is>
      </c>
      <c r="T83" s="76" t="inlineStr">
        <is>
          <t>Yes</t>
        </is>
      </c>
      <c r="U83" s="76" t="n"/>
      <c r="V83" s="76" t="n"/>
      <c r="W83" s="76" t="n">
        <v>9</v>
      </c>
      <c r="X83" s="76" t="n"/>
      <c r="Y83" s="76" t="n"/>
      <c r="Z83" s="76" t="inlineStr">
        <is>
          <t>Positive</t>
        </is>
      </c>
      <c r="AA83" s="79" t="n"/>
    </row>
    <row r="84">
      <c r="A84" s="77" t="n"/>
      <c r="B84" s="78" t="n">
        <v>25092763441173</v>
      </c>
      <c r="C84" s="63" t="inlineStr">
        <is>
          <t>Efat</t>
        </is>
      </c>
      <c r="D84" s="65" t="n"/>
      <c r="E84" s="62" t="n">
        <v>724380</v>
      </c>
      <c r="F84" s="63" t="inlineStr">
        <is>
          <t>Apon billal</t>
        </is>
      </c>
      <c r="G84" s="60" t="n">
        <v>1613553861</v>
      </c>
      <c r="H84" s="61" t="inlineStr">
        <is>
          <t>Narshingdi</t>
        </is>
      </c>
      <c r="I84" s="63" t="inlineStr">
        <is>
          <t>FMCG</t>
        </is>
      </c>
      <c r="J84" s="63" t="inlineStr">
        <is>
          <t>Health  Beauty</t>
        </is>
      </c>
      <c r="K84" s="62" t="n">
        <v>272</v>
      </c>
      <c r="L84" s="63" t="inlineStr">
        <is>
          <t>Meril Milk &amp; Beli Soap Bar (Box Pack) - 150gm</t>
        </is>
      </c>
      <c r="M84" s="76" t="inlineStr">
        <is>
          <t xml:space="preserve">Connected </t>
        </is>
      </c>
      <c r="N84" s="76" t="inlineStr">
        <is>
          <t>Yes</t>
        </is>
      </c>
      <c r="O84" s="76" t="inlineStr">
        <is>
          <t>Picked up earlier</t>
        </is>
      </c>
      <c r="P84" s="76" t="n"/>
      <c r="Q84" s="76" t="n"/>
      <c r="R84" s="76" t="inlineStr">
        <is>
          <t>Yes (timely call/SMS)</t>
        </is>
      </c>
      <c r="S84" s="76" t="inlineStr">
        <is>
          <t>Very polite and helpful</t>
        </is>
      </c>
      <c r="T84" s="76" t="inlineStr">
        <is>
          <t>Didn't check</t>
        </is>
      </c>
      <c r="U84" s="76" t="n"/>
      <c r="V84" s="76" t="n"/>
      <c r="W84" s="76" t="n">
        <v>10</v>
      </c>
      <c r="X84" s="76" t="n"/>
      <c r="Y84" s="76" t="n"/>
      <c r="Z84" s="76" t="inlineStr">
        <is>
          <t>Positive</t>
        </is>
      </c>
      <c r="AA84" s="79" t="n"/>
    </row>
    <row r="85">
      <c r="A85" s="77" t="n"/>
      <c r="B85" s="78" t="n">
        <v>25092748683315</v>
      </c>
      <c r="C85" s="63" t="inlineStr">
        <is>
          <t>Efat</t>
        </is>
      </c>
      <c r="D85" s="65" t="n"/>
      <c r="E85" s="62" t="n">
        <v>664183</v>
      </c>
      <c r="F85" s="63" t="inlineStr">
        <is>
          <t>Sajjad Hossain</t>
        </is>
      </c>
      <c r="G85" s="60" t="n">
        <v>1799419723</v>
      </c>
      <c r="H85" s="66" t="inlineStr">
        <is>
          <t>Feni</t>
        </is>
      </c>
      <c r="I85" s="63" t="inlineStr">
        <is>
          <t>Fashion</t>
        </is>
      </c>
      <c r="J85" s="63" t="inlineStr">
        <is>
          <t>Fashion</t>
        </is>
      </c>
      <c r="K85" s="62" t="n">
        <v>1473</v>
      </c>
      <c r="L85" s="63" t="inlineStr">
        <is>
          <t>Sprint Men's Sneaker</t>
        </is>
      </c>
      <c r="M85" s="76" t="inlineStr">
        <is>
          <t>Not Connected</t>
        </is>
      </c>
      <c r="N85" s="76" t="n"/>
      <c r="O85" s="76" t="n"/>
      <c r="P85" s="76" t="n"/>
      <c r="Q85" s="76" t="n"/>
      <c r="R85" s="76" t="n"/>
      <c r="S85" s="76" t="n"/>
      <c r="T85" s="76" t="n"/>
      <c r="U85" s="76" t="n"/>
      <c r="V85" s="76" t="n"/>
      <c r="W85" s="76" t="n"/>
      <c r="X85" s="76" t="n"/>
      <c r="Y85" s="76" t="n"/>
      <c r="Z85" s="76" t="n"/>
      <c r="AA85" s="79" t="n"/>
    </row>
    <row r="86">
      <c r="A86" s="77" t="n"/>
      <c r="B86" s="78" t="n">
        <v>25092765923884</v>
      </c>
      <c r="C86" s="63" t="inlineStr">
        <is>
          <t>Efat</t>
        </is>
      </c>
      <c r="D86" s="65" t="n"/>
      <c r="E86" s="62" t="n">
        <v>728277</v>
      </c>
      <c r="F86" s="63" t="inlineStr">
        <is>
          <t xml:space="preserve">mm Gents </t>
        </is>
      </c>
      <c r="G86" s="60" t="n">
        <v>1872072998</v>
      </c>
      <c r="H86" s="61" t="inlineStr">
        <is>
          <t>Gopalgonj</t>
        </is>
      </c>
      <c r="I86" s="63" t="inlineStr">
        <is>
          <t>Fashion</t>
        </is>
      </c>
      <c r="J86" s="63" t="inlineStr">
        <is>
          <t>Watches Sunglasses Jewellery</t>
        </is>
      </c>
      <c r="K86" s="62" t="n">
        <v>276</v>
      </c>
      <c r="L86" s="63" t="inlineStr">
        <is>
          <t>Square Glasses Computer Glasses Glasses Full Frame Glasses Anti Blue Light Men Women Glasses Metal Glasses</t>
        </is>
      </c>
      <c r="M86" s="76" t="inlineStr">
        <is>
          <t xml:space="preserve">Connected </t>
        </is>
      </c>
      <c r="N86" s="76" t="inlineStr">
        <is>
          <t>Yes</t>
        </is>
      </c>
      <c r="O86" s="76" t="inlineStr">
        <is>
          <t>Yes (on time)</t>
        </is>
      </c>
      <c r="P86" s="76" t="n"/>
      <c r="Q86" s="76" t="n"/>
      <c r="R86" s="76" t="inlineStr">
        <is>
          <t>Yes (timely call/SMS)</t>
        </is>
      </c>
      <c r="S86" s="76" t="inlineStr">
        <is>
          <t>Very polite and helpful</t>
        </is>
      </c>
      <c r="T86" s="76" t="inlineStr">
        <is>
          <t>Yes</t>
        </is>
      </c>
      <c r="U86" s="76" t="inlineStr">
        <is>
          <t>Did not get any invoice from Seller</t>
        </is>
      </c>
      <c r="V86" s="76" t="n"/>
      <c r="W86" s="76" t="n">
        <v>9</v>
      </c>
      <c r="X86" s="76" t="n"/>
      <c r="Y86" s="76" t="n"/>
      <c r="Z86" s="76" t="inlineStr">
        <is>
          <t>Positive</t>
        </is>
      </c>
      <c r="AA86" s="79" t="n"/>
    </row>
    <row r="87">
      <c r="A87" s="77" t="n"/>
      <c r="B87" s="78" t="n">
        <v>25092851945898</v>
      </c>
      <c r="C87" s="63" t="inlineStr">
        <is>
          <t>Efat</t>
        </is>
      </c>
      <c r="D87" s="65" t="n"/>
      <c r="E87" s="62" t="n">
        <v>666992</v>
      </c>
      <c r="F87" s="63" t="inlineStr">
        <is>
          <t xml:space="preserve">Mr./Ms. </t>
        </is>
      </c>
      <c r="G87" s="60" t="n">
        <v>1614762131</v>
      </c>
      <c r="H87" s="61" t="inlineStr">
        <is>
          <t>Sirajganj</t>
        </is>
      </c>
      <c r="I87" s="63" t="inlineStr">
        <is>
          <t>Fashion</t>
        </is>
      </c>
      <c r="J87" s="63" t="inlineStr">
        <is>
          <t>Fashion</t>
        </is>
      </c>
      <c r="K87" s="62" t="n">
        <v>800</v>
      </c>
      <c r="L87" s="63" t="inlineStr">
        <is>
          <t>Manfare Premium Formal Solid Shirt For Men | SKY BLUE  | MS-79</t>
        </is>
      </c>
      <c r="M87" s="76" t="inlineStr">
        <is>
          <t xml:space="preserve">Connected </t>
        </is>
      </c>
      <c r="N87" s="76" t="inlineStr">
        <is>
          <t>Yes</t>
        </is>
      </c>
      <c r="O87" s="76" t="inlineStr">
        <is>
          <t>Yes (on time)</t>
        </is>
      </c>
      <c r="P87" s="76" t="n"/>
      <c r="Q87" s="76" t="n"/>
      <c r="R87" s="76" t="inlineStr">
        <is>
          <t>Didn’t contact</t>
        </is>
      </c>
      <c r="S87" s="76" t="inlineStr">
        <is>
          <t>Rude or unprofessional</t>
        </is>
      </c>
      <c r="T87" s="76" t="inlineStr">
        <is>
          <t>Yes</t>
        </is>
      </c>
      <c r="U87" s="76" t="inlineStr">
        <is>
          <t>Rider was new</t>
        </is>
      </c>
      <c r="V87" s="76" t="n"/>
      <c r="W87" s="76" t="n">
        <v>8</v>
      </c>
      <c r="X87" s="76" t="inlineStr">
        <is>
          <t>Return Request Process is not smooth and easy, no tracking</t>
        </is>
      </c>
      <c r="Y87" s="76" t="n"/>
      <c r="Z87" s="76" t="inlineStr">
        <is>
          <t>Neutral</t>
        </is>
      </c>
      <c r="AA87" s="79" t="n"/>
    </row>
    <row r="88">
      <c r="A88" s="77" t="n"/>
      <c r="B88" s="78" t="n">
        <v>25092833641452</v>
      </c>
      <c r="C88" s="63" t="inlineStr">
        <is>
          <t>Efat</t>
        </is>
      </c>
      <c r="D88" s="65" t="n"/>
      <c r="E88" s="62" t="n">
        <v>10221</v>
      </c>
      <c r="F88" s="63" t="inlineStr">
        <is>
          <t>Niaz Khan</t>
        </is>
      </c>
      <c r="G88" s="60" t="n">
        <v>1713718723</v>
      </c>
      <c r="H88" s="61" t="inlineStr">
        <is>
          <t>Khulna</t>
        </is>
      </c>
      <c r="I88" s="63" t="inlineStr">
        <is>
          <t>Fashion</t>
        </is>
      </c>
      <c r="J88" s="63" t="inlineStr">
        <is>
          <t>Fashion</t>
        </is>
      </c>
      <c r="K88" s="62" t="n">
        <v>942</v>
      </c>
      <c r="L88" s="63" t="inlineStr">
        <is>
          <t>Shoe for Boys and Girls | PANDA SPORTS Back belt | Case shoe | Shoe for Man | Sneakers Shoe | Running Shoe Walking Shoe | Casual Shoes Y-201043 [Handicraft Shop]</t>
        </is>
      </c>
      <c r="M88" s="76" t="inlineStr">
        <is>
          <t>Not Connected</t>
        </is>
      </c>
      <c r="N88" s="76" t="n"/>
      <c r="O88" s="76" t="n"/>
      <c r="P88" s="76" t="n"/>
      <c r="Q88" s="76" t="n"/>
      <c r="R88" s="76" t="n"/>
      <c r="S88" s="76" t="n"/>
      <c r="T88" s="76" t="n"/>
      <c r="U88" s="76" t="n"/>
      <c r="V88" s="76" t="n"/>
      <c r="W88" s="76" t="n"/>
      <c r="X88" s="76" t="n"/>
      <c r="Y88" s="84" t="n"/>
      <c r="Z88" s="76" t="n"/>
      <c r="AA88" s="79" t="n"/>
    </row>
    <row r="89">
      <c r="A89" s="77" t="n"/>
      <c r="B89" s="78" t="n">
        <v>25092774192172</v>
      </c>
      <c r="C89" s="63" t="inlineStr">
        <is>
          <t>Efat</t>
        </is>
      </c>
      <c r="D89" s="65" t="n"/>
      <c r="E89" s="62" t="n">
        <v>727432</v>
      </c>
      <c r="F89" s="63" t="inlineStr">
        <is>
          <t xml:space="preserve">Mr./Ms. </t>
        </is>
      </c>
      <c r="G89" s="60" t="n">
        <v>1816242024</v>
      </c>
      <c r="H89" s="61" t="inlineStr">
        <is>
          <t>Feni</t>
        </is>
      </c>
      <c r="I89" s="63" t="inlineStr">
        <is>
          <t>FMCG</t>
        </is>
      </c>
      <c r="J89" s="63" t="inlineStr">
        <is>
          <t>Health  Beauty</t>
        </is>
      </c>
      <c r="K89" s="62" t="n">
        <v>318</v>
      </c>
      <c r="L89" s="63" t="inlineStr">
        <is>
          <t>Parachute Hair Oil Advansed Beliphool Multivitamin 200ml</t>
        </is>
      </c>
      <c r="M89" s="76" t="inlineStr">
        <is>
          <t xml:space="preserve">Connected </t>
        </is>
      </c>
      <c r="N89" s="76" t="inlineStr">
        <is>
          <t>Yes</t>
        </is>
      </c>
      <c r="O89" s="76" t="inlineStr">
        <is>
          <t>Yes (on time)</t>
        </is>
      </c>
      <c r="P89" s="76" t="n"/>
      <c r="Q89" s="76" t="n"/>
      <c r="R89" s="76" t="inlineStr">
        <is>
          <t>Yes (timely call/SMS)</t>
        </is>
      </c>
      <c r="S89" s="76" t="inlineStr">
        <is>
          <t>Very polite and helpful</t>
        </is>
      </c>
      <c r="T89" s="76" t="inlineStr">
        <is>
          <t>Yes</t>
        </is>
      </c>
      <c r="U89" s="76" t="n"/>
      <c r="V89" s="76" t="n"/>
      <c r="W89" s="76" t="n">
        <v>10</v>
      </c>
      <c r="X89" s="76" t="n"/>
      <c r="Y89" s="76" t="n"/>
      <c r="Z89" s="76" t="inlineStr">
        <is>
          <t>Positive</t>
        </is>
      </c>
      <c r="AA89" s="79" t="n"/>
    </row>
    <row r="90">
      <c r="A90" s="77" t="n"/>
      <c r="B90" s="78" t="n">
        <v>25092833981890</v>
      </c>
      <c r="C90" s="58" t="n"/>
      <c r="D90" s="65" t="n"/>
      <c r="E90" s="62" t="n">
        <v>613974</v>
      </c>
      <c r="F90" s="63" t="inlineStr">
        <is>
          <t>md Forid</t>
        </is>
      </c>
      <c r="G90" s="60" t="n">
        <v>1611848602</v>
      </c>
      <c r="H90" s="61" t="inlineStr">
        <is>
          <t>Manikganj</t>
        </is>
      </c>
      <c r="I90" s="63" t="inlineStr">
        <is>
          <t>FMCG</t>
        </is>
      </c>
      <c r="J90" s="63" t="inlineStr">
        <is>
          <t>Health  Beauty</t>
        </is>
      </c>
      <c r="K90" s="62" t="n">
        <v>164</v>
      </c>
      <c r="L90" s="63" t="inlineStr">
        <is>
          <t>Dove Shampoo Hairfall Rescue 170ml</t>
        </is>
      </c>
      <c r="M90" s="76" t="n"/>
      <c r="N90" s="76" t="n"/>
      <c r="O90" s="76" t="n"/>
      <c r="P90" s="76" t="n"/>
      <c r="Q90" s="76" t="n"/>
      <c r="R90" s="76" t="n"/>
      <c r="S90" s="76" t="n"/>
      <c r="T90" s="76" t="n"/>
      <c r="U90" s="76" t="n"/>
      <c r="V90" s="76" t="n"/>
      <c r="W90" s="76" t="n"/>
      <c r="X90" s="76" t="n"/>
      <c r="Y90" s="76" t="n"/>
      <c r="Z90" s="76" t="n"/>
      <c r="AA90" s="79" t="n"/>
    </row>
    <row r="91">
      <c r="A91" s="77" t="n"/>
      <c r="B91" s="78" t="n">
        <v>25092858202361</v>
      </c>
      <c r="C91" s="58" t="n"/>
      <c r="D91" s="65" t="n"/>
      <c r="E91" s="62" t="n">
        <v>35584</v>
      </c>
      <c r="F91" s="63" t="inlineStr">
        <is>
          <t>Abdullah Al Mamun</t>
        </is>
      </c>
      <c r="G91" s="60" t="n">
        <v>1745361096</v>
      </c>
      <c r="H91" s="61" t="inlineStr">
        <is>
          <t>Pabna</t>
        </is>
      </c>
      <c r="I91" s="63" t="inlineStr">
        <is>
          <t>FMCG</t>
        </is>
      </c>
      <c r="J91" s="63" t="inlineStr">
        <is>
          <t>Groceries</t>
        </is>
      </c>
      <c r="K91" s="62" t="n">
        <v>327</v>
      </c>
      <c r="L91" s="63" t="inlineStr">
        <is>
          <t>Fresh Chili Powder - 200 gm</t>
        </is>
      </c>
      <c r="M91" s="76" t="n"/>
      <c r="N91" s="76" t="n"/>
      <c r="O91" s="76" t="n"/>
      <c r="P91" s="76" t="n"/>
      <c r="Q91" s="76" t="n"/>
      <c r="R91" s="76" t="n"/>
      <c r="S91" s="76" t="n"/>
      <c r="T91" s="76" t="n"/>
      <c r="U91" s="76" t="n"/>
      <c r="V91" s="76" t="n"/>
      <c r="W91" s="76" t="n"/>
      <c r="X91" s="76" t="n"/>
      <c r="Y91" s="76" t="n"/>
      <c r="Z91" s="76" t="n"/>
      <c r="AA91" s="79" t="n"/>
    </row>
    <row r="92">
      <c r="A92" s="77" t="n"/>
      <c r="B92" s="78" t="n">
        <v>25092876375474</v>
      </c>
      <c r="C92" s="58" t="n"/>
      <c r="D92" s="65" t="n"/>
      <c r="E92" s="62" t="n">
        <v>258541</v>
      </c>
      <c r="F92" s="63" t="inlineStr">
        <is>
          <t xml:space="preserve">ZAHID HASAN SOHAG </t>
        </is>
      </c>
      <c r="G92" s="60" t="n">
        <v>1300976941</v>
      </c>
      <c r="H92" s="61" t="inlineStr">
        <is>
          <t>Pabna</t>
        </is>
      </c>
      <c r="I92" s="63" t="inlineStr">
        <is>
          <t>Fashion</t>
        </is>
      </c>
      <c r="J92" s="63" t="inlineStr">
        <is>
          <t>Watches Sunglasses Jewellery</t>
        </is>
      </c>
      <c r="K92" s="62" t="n">
        <v>1093</v>
      </c>
      <c r="L92" s="63" t="inlineStr">
        <is>
          <t>Rol-ex Top Luxury High Quality Analouge Stainless Steel Waterproof  Watch For Men</t>
        </is>
      </c>
      <c r="M92" s="76" t="n"/>
      <c r="N92" s="76" t="n"/>
      <c r="O92" s="76" t="n"/>
      <c r="P92" s="76" t="n"/>
      <c r="Q92" s="76" t="n"/>
      <c r="R92" s="76" t="n"/>
      <c r="S92" s="76" t="n"/>
      <c r="T92" s="76" t="n"/>
      <c r="U92" s="76" t="n"/>
      <c r="V92" s="76" t="n"/>
      <c r="W92" s="76" t="n"/>
      <c r="X92" s="76" t="n"/>
      <c r="Y92" s="76" t="n"/>
      <c r="Z92" s="76" t="n"/>
      <c r="AA92" s="79" t="n"/>
    </row>
    <row r="93">
      <c r="A93" s="77" t="n"/>
      <c r="B93" s="78" t="n">
        <v>25092884359507</v>
      </c>
      <c r="C93" s="58" t="n"/>
      <c r="D93" s="65" t="n"/>
      <c r="E93" s="62" t="n">
        <v>728786</v>
      </c>
      <c r="F93" s="63" t="inlineStr">
        <is>
          <t xml:space="preserve">Bora Shi </t>
        </is>
      </c>
      <c r="G93" s="60" t="n">
        <v>1872072998</v>
      </c>
      <c r="H93" s="66" t="inlineStr">
        <is>
          <t>Gopalgonj</t>
        </is>
      </c>
      <c r="I93" s="63" t="inlineStr">
        <is>
          <t>Lifestyle</t>
        </is>
      </c>
      <c r="J93" s="63" t="inlineStr">
        <is>
          <t>Laundry  Cleaning</t>
        </is>
      </c>
      <c r="K93" s="62" t="n">
        <v>61</v>
      </c>
      <c r="L93" s="63" t="inlineStr">
        <is>
          <t>Pack Of 100 Polyethylene Embossed Gloves</t>
        </is>
      </c>
      <c r="M93" s="76" t="n"/>
      <c r="N93" s="76" t="n"/>
      <c r="O93" s="76" t="n"/>
      <c r="P93" s="76" t="n"/>
      <c r="Q93" s="76" t="n"/>
      <c r="R93" s="76" t="n"/>
      <c r="S93" s="76" t="n"/>
      <c r="T93" s="76" t="n"/>
      <c r="U93" s="76" t="n"/>
      <c r="V93" s="76" t="n"/>
      <c r="W93" s="76" t="n"/>
      <c r="X93" s="76" t="n"/>
      <c r="Y93" s="76" t="n"/>
      <c r="Z93" s="76" t="n"/>
      <c r="AA93" s="79" t="n"/>
    </row>
    <row r="94">
      <c r="A94" s="77" t="n"/>
      <c r="B94" s="78" t="n">
        <v>25092887553790</v>
      </c>
      <c r="C94" s="58" t="n"/>
      <c r="D94" s="65" t="n"/>
      <c r="E94" s="62" t="n">
        <v>654074</v>
      </c>
      <c r="F94" s="63" t="inlineStr">
        <is>
          <t>RUBEL ISLAM</t>
        </is>
      </c>
      <c r="G94" s="60" t="n">
        <v>1770612927</v>
      </c>
      <c r="H94" s="66" t="inlineStr">
        <is>
          <t>Naogaon</t>
        </is>
      </c>
      <c r="I94" s="63" t="inlineStr">
        <is>
          <t>Lifestyle</t>
        </is>
      </c>
      <c r="J94" s="63" t="inlineStr">
        <is>
          <t>Furniture  Decor</t>
        </is>
      </c>
      <c r="K94" s="62" t="n">
        <v>1191</v>
      </c>
      <c r="L94" s="63" t="inlineStr">
        <is>
          <t>Electronic LCD Time Display Alarm Clock - High-Quality-Lightweight Design with a Mirror Screen - Clock Size: 13.3cm x 7.3cm x 3.2cm/5.24" x 2.87" x 1.26" (Approx.)</t>
        </is>
      </c>
      <c r="M94" s="76" t="n"/>
      <c r="N94" s="76" t="n"/>
      <c r="O94" s="76" t="n"/>
      <c r="P94" s="76" t="n"/>
      <c r="Q94" s="76" t="n"/>
      <c r="R94" s="76" t="n"/>
      <c r="S94" s="76" t="n"/>
      <c r="T94" s="76" t="n"/>
      <c r="U94" s="76" t="n"/>
      <c r="V94" s="76" t="n"/>
      <c r="W94" s="76" t="n"/>
      <c r="X94" s="76" t="n"/>
      <c r="Y94" s="76" t="n"/>
      <c r="Z94" s="76" t="n"/>
      <c r="AA94" s="79" t="n"/>
    </row>
    <row r="95">
      <c r="A95" s="77" t="n"/>
      <c r="B95" s="78" t="n">
        <v>25092914623781</v>
      </c>
      <c r="C95" s="58" t="n"/>
      <c r="D95" s="65" t="n"/>
      <c r="E95" s="62" t="n">
        <v>735111</v>
      </c>
      <c r="F95" s="63" t="inlineStr">
        <is>
          <t>Maria khanom</t>
        </is>
      </c>
      <c r="G95" s="60" t="n">
        <v>1317569427</v>
      </c>
      <c r="H95" s="66" t="inlineStr">
        <is>
          <t>Gopalgonj</t>
        </is>
      </c>
      <c r="I95" s="63" t="inlineStr">
        <is>
          <t>Electronics</t>
        </is>
      </c>
      <c r="J95" s="63" t="inlineStr">
        <is>
          <t>TV, Audio / Video, Gaming  Wearables</t>
        </is>
      </c>
      <c r="K95" s="62" t="n">
        <v>1250</v>
      </c>
      <c r="L95" s="63" t="inlineStr">
        <is>
          <t>TRN MT1 MAX 10mm Dual Magnet Dynamic Driver Earphone</t>
        </is>
      </c>
      <c r="M95" s="76" t="n"/>
      <c r="N95" s="76" t="n"/>
      <c r="O95" s="76" t="n"/>
      <c r="P95" s="76" t="n"/>
      <c r="Q95" s="76" t="n"/>
      <c r="R95" s="76" t="n"/>
      <c r="S95" s="76" t="n"/>
      <c r="T95" s="76" t="n"/>
      <c r="U95" s="76" t="n"/>
      <c r="V95" s="76" t="n"/>
      <c r="W95" s="76" t="n"/>
      <c r="X95" s="76" t="n"/>
      <c r="Y95" s="76" t="n"/>
      <c r="Z95" s="76" t="n"/>
      <c r="AA95" s="79" t="n"/>
    </row>
    <row r="96">
      <c r="A96" s="77" t="n"/>
      <c r="B96" s="78" t="n">
        <v>25092952658520</v>
      </c>
      <c r="C96" s="58" t="n"/>
      <c r="D96" s="65" t="n"/>
      <c r="E96" s="62" t="n">
        <v>734784</v>
      </c>
      <c r="F96" s="63" t="inlineStr">
        <is>
          <t xml:space="preserve">Free Fire </t>
        </is>
      </c>
      <c r="G96" s="60" t="n">
        <v>1752622686</v>
      </c>
      <c r="H96" s="61" t="inlineStr">
        <is>
          <t>Pabna</t>
        </is>
      </c>
      <c r="I96" s="63" t="inlineStr">
        <is>
          <t>Lifestyle</t>
        </is>
      </c>
      <c r="J96" s="63" t="inlineStr">
        <is>
          <t>Tools, DIY  Outdoor</t>
        </is>
      </c>
      <c r="K96" s="62" t="n">
        <v>63</v>
      </c>
      <c r="L96" s="63" t="inlineStr">
        <is>
          <t>Mini MP1584EN DC-DC Buck Converter Adjustable Supply Module 24V to 12V 9V 5V 3V Reduced Voltage Regulator</t>
        </is>
      </c>
      <c r="M96" s="76" t="n"/>
      <c r="N96" s="76" t="n"/>
      <c r="O96" s="76" t="n"/>
      <c r="P96" s="76" t="n"/>
      <c r="Q96" s="76" t="n"/>
      <c r="R96" s="76" t="n"/>
      <c r="S96" s="76" t="n"/>
      <c r="T96" s="76" t="n"/>
      <c r="U96" s="76" t="n"/>
      <c r="V96" s="76" t="n"/>
      <c r="W96" s="76" t="n"/>
      <c r="X96" s="76" t="n"/>
      <c r="Y96" s="76" t="n"/>
      <c r="Z96" s="76" t="n"/>
      <c r="AA96" s="79" t="n"/>
    </row>
    <row r="97">
      <c r="A97" s="77" t="n"/>
      <c r="B97" s="78" t="n">
        <v>25093076867585</v>
      </c>
      <c r="C97" s="58" t="n"/>
      <c r="D97" s="65" t="n"/>
      <c r="E97" s="62" t="n">
        <v>737704</v>
      </c>
      <c r="F97" s="63" t="inlineStr">
        <is>
          <t xml:space="preserve">Mr./Ms. </t>
        </is>
      </c>
      <c r="G97" s="60" t="n">
        <v>1775550486</v>
      </c>
      <c r="H97" s="61" t="inlineStr">
        <is>
          <t>Dinajpur</t>
        </is>
      </c>
      <c r="I97" s="63" t="inlineStr">
        <is>
          <t>FMCG</t>
        </is>
      </c>
      <c r="J97" s="63" t="inlineStr">
        <is>
          <t>Health  Beauty</t>
        </is>
      </c>
      <c r="K97" s="62" t="n">
        <v>437</v>
      </c>
      <c r="L97" s="63" t="inlineStr">
        <is>
          <t>Morphe palette 15 color eyeshdaow palate</t>
        </is>
      </c>
      <c r="M97" s="76" t="n"/>
      <c r="N97" s="76" t="n"/>
      <c r="O97" s="76" t="n"/>
      <c r="P97" s="76" t="n"/>
      <c r="Q97" s="76" t="n"/>
      <c r="R97" s="76" t="n"/>
      <c r="S97" s="76" t="n"/>
      <c r="T97" s="76" t="n"/>
      <c r="U97" s="76" t="n"/>
      <c r="V97" s="76" t="n"/>
      <c r="W97" s="76" t="n"/>
      <c r="X97" s="76" t="n"/>
      <c r="Y97" s="76" t="n"/>
      <c r="Z97" s="76" t="n"/>
      <c r="AA97" s="79" t="n"/>
    </row>
    <row r="98">
      <c r="A98" s="77" t="n"/>
      <c r="B98" s="78" t="n">
        <v>25093081160331</v>
      </c>
      <c r="C98" s="58" t="n"/>
      <c r="D98" s="65" t="n"/>
      <c r="E98" s="62" t="n">
        <v>532172</v>
      </c>
      <c r="F98" s="63" t="inlineStr">
        <is>
          <t xml:space="preserve">Mr./Ms. </t>
        </is>
      </c>
      <c r="G98" s="60" t="n">
        <v>1737933498</v>
      </c>
      <c r="H98" s="66" t="inlineStr">
        <is>
          <t>Kurigram</t>
        </is>
      </c>
      <c r="I98" s="63" t="inlineStr">
        <is>
          <t>Lifestyle</t>
        </is>
      </c>
      <c r="J98" s="63" t="inlineStr">
        <is>
          <t>Tools, DIY  Outdoor</t>
        </is>
      </c>
      <c r="K98" s="62" t="n">
        <v>1360</v>
      </c>
      <c r="L98" s="63" t="inlineStr">
        <is>
          <t>GearUP K57 PRO Rechargeable High Power Flashlight + Large COB Light with 3500mAh Lithium Battery</t>
        </is>
      </c>
      <c r="M98" s="76" t="n"/>
      <c r="N98" s="76" t="n"/>
      <c r="O98" s="76" t="n"/>
      <c r="P98" s="76" t="n"/>
      <c r="Q98" s="76" t="n"/>
      <c r="R98" s="76" t="n"/>
      <c r="S98" s="76" t="n"/>
      <c r="T98" s="76" t="n"/>
      <c r="U98" s="76" t="n"/>
      <c r="V98" s="76" t="n"/>
      <c r="W98" s="76" t="n"/>
      <c r="X98" s="76" t="n"/>
      <c r="Y98" s="76" t="n"/>
      <c r="Z98" s="76" t="n"/>
      <c r="AA98" s="79" t="n"/>
    </row>
    <row r="99">
      <c r="A99" s="77" t="n"/>
      <c r="B99" s="78" t="n">
        <v>25093095470044</v>
      </c>
      <c r="C99" s="58" t="n"/>
      <c r="D99" s="65" t="n"/>
      <c r="E99" s="62" t="n">
        <v>703767</v>
      </c>
      <c r="F99" s="63" t="inlineStr">
        <is>
          <t>Mr Rafiu</t>
        </is>
      </c>
      <c r="G99" s="60" t="n">
        <v>1331330593</v>
      </c>
      <c r="H99" s="66" t="inlineStr">
        <is>
          <t>Rangpur</t>
        </is>
      </c>
      <c r="I99" s="63" t="inlineStr">
        <is>
          <t>Lifestyle</t>
        </is>
      </c>
      <c r="J99" s="63" t="inlineStr">
        <is>
          <t>Furniture  Decor</t>
        </is>
      </c>
      <c r="K99" s="62" t="n">
        <v>412</v>
      </c>
      <c r="L99" s="63" t="inlineStr">
        <is>
          <t>Waterproof Foldable Laptop Table And Kids Reading Table</t>
        </is>
      </c>
      <c r="M99" s="76" t="n"/>
      <c r="N99" s="76" t="n"/>
      <c r="O99" s="76" t="n"/>
      <c r="P99" s="76" t="n"/>
      <c r="Q99" s="76" t="n"/>
      <c r="R99" s="76" t="n"/>
      <c r="S99" s="76" t="n"/>
      <c r="T99" s="76" t="n"/>
      <c r="U99" s="76" t="n"/>
      <c r="V99" s="76" t="n"/>
      <c r="W99" s="76" t="n"/>
      <c r="X99" s="76" t="n"/>
      <c r="Y99" s="76" t="n"/>
      <c r="Z99" s="76" t="n"/>
      <c r="AA99" s="79" t="n"/>
    </row>
    <row r="101">
      <c r="A101" s="77" t="n"/>
      <c r="B101" s="78" t="n"/>
      <c r="C101" s="58" t="n"/>
      <c r="D101" s="65" t="n"/>
      <c r="E101" s="62" t="n"/>
      <c r="F101" s="63" t="n"/>
      <c r="G101" s="60" t="n"/>
      <c r="H101" s="61" t="n"/>
      <c r="I101" s="63" t="n"/>
      <c r="J101" s="63" t="n"/>
      <c r="K101" s="62" t="n"/>
      <c r="L101" s="63" t="n"/>
      <c r="M101" s="76" t="n"/>
      <c r="N101" s="76" t="n"/>
      <c r="O101" s="76" t="n"/>
      <c r="P101" s="76" t="n"/>
      <c r="Q101" s="76" t="n"/>
      <c r="R101" s="76" t="n"/>
      <c r="S101" s="76" t="n"/>
      <c r="T101" s="76" t="n"/>
      <c r="U101" s="76" t="n"/>
      <c r="V101" s="76" t="n"/>
      <c r="W101" s="76" t="n"/>
      <c r="X101" s="76" t="n"/>
      <c r="Y101" s="76" t="n"/>
      <c r="Z101" s="76" t="n"/>
      <c r="AA101" s="79" t="n"/>
    </row>
    <row r="102">
      <c r="A102" s="77" t="n"/>
      <c r="B102" s="78" t="n"/>
      <c r="C102" s="58" t="n"/>
      <c r="D102" s="65" t="n"/>
      <c r="E102" s="62" t="n"/>
      <c r="F102" s="63" t="n"/>
      <c r="G102" s="60" t="n"/>
      <c r="H102" s="61" t="n"/>
      <c r="I102" s="63" t="n"/>
      <c r="J102" s="63" t="n"/>
      <c r="K102" s="62" t="n"/>
      <c r="L102" s="63" t="n"/>
      <c r="M102" s="76" t="n"/>
      <c r="N102" s="76" t="n"/>
      <c r="O102" s="76" t="n"/>
      <c r="P102" s="76" t="n"/>
      <c r="Q102" s="76" t="n"/>
      <c r="R102" s="76" t="n"/>
      <c r="S102" s="76" t="n"/>
      <c r="T102" s="76" t="n"/>
      <c r="U102" s="76" t="n"/>
      <c r="V102" s="76" t="n"/>
      <c r="W102" s="76" t="n"/>
      <c r="X102" s="76" t="n"/>
      <c r="Y102" s="76" t="n"/>
      <c r="Z102" s="76" t="n"/>
      <c r="AA102" s="79" t="n"/>
    </row>
    <row r="103">
      <c r="A103" s="77" t="n"/>
      <c r="B103" s="78" t="n"/>
      <c r="C103" s="58" t="n"/>
      <c r="D103" s="65" t="n"/>
      <c r="E103" s="62" t="n"/>
      <c r="F103" s="63" t="n"/>
      <c r="G103" s="60" t="n"/>
      <c r="H103" s="61" t="n"/>
      <c r="I103" s="63" t="n"/>
      <c r="J103" s="63" t="n"/>
      <c r="K103" s="62" t="n"/>
      <c r="L103" s="63" t="n"/>
      <c r="M103" s="76" t="n"/>
      <c r="N103" s="76" t="n"/>
      <c r="O103" s="76" t="n"/>
      <c r="P103" s="76" t="n"/>
      <c r="Q103" s="76" t="n"/>
      <c r="R103" s="76" t="n"/>
      <c r="S103" s="76" t="n"/>
      <c r="T103" s="76" t="n"/>
      <c r="U103" s="76" t="n"/>
      <c r="V103" s="76" t="n"/>
      <c r="W103" s="76" t="n"/>
      <c r="X103" s="76" t="n"/>
      <c r="Y103" s="76" t="n"/>
      <c r="Z103" s="76" t="n"/>
      <c r="AA103" s="79" t="n"/>
    </row>
    <row r="104">
      <c r="A104" s="77" t="n"/>
      <c r="B104" s="78" t="n"/>
      <c r="C104" s="58" t="n"/>
      <c r="D104" s="65" t="n"/>
      <c r="E104" s="62" t="n"/>
      <c r="F104" s="63" t="n"/>
      <c r="G104" s="60" t="n"/>
      <c r="H104" s="61" t="n"/>
      <c r="I104" s="63" t="n"/>
      <c r="J104" s="63" t="n"/>
      <c r="K104" s="62" t="n"/>
      <c r="L104" s="63" t="n"/>
      <c r="M104" s="76" t="n"/>
      <c r="N104" s="76" t="n"/>
      <c r="O104" s="76" t="n"/>
      <c r="P104" s="76" t="n"/>
      <c r="Q104" s="76" t="n"/>
      <c r="R104" s="76" t="n"/>
      <c r="S104" s="76" t="n"/>
      <c r="T104" s="76" t="n"/>
      <c r="U104" s="76" t="n"/>
      <c r="V104" s="76" t="n"/>
      <c r="W104" s="76" t="n"/>
      <c r="X104" s="76" t="n"/>
      <c r="Y104" s="76" t="n"/>
      <c r="Z104" s="76" t="n"/>
      <c r="AA104" s="79" t="n"/>
    </row>
    <row r="105">
      <c r="A105" s="77" t="n"/>
      <c r="B105" s="78" t="n"/>
      <c r="C105" s="58" t="n"/>
      <c r="D105" s="65" t="n"/>
      <c r="E105" s="62" t="n"/>
      <c r="F105" s="63" t="n"/>
      <c r="G105" s="60" t="n"/>
      <c r="H105" s="61" t="n"/>
      <c r="I105" s="63" t="n"/>
      <c r="J105" s="63" t="n"/>
      <c r="K105" s="62" t="n"/>
      <c r="L105" s="63" t="n"/>
      <c r="M105" s="76" t="n"/>
      <c r="N105" s="76" t="n"/>
      <c r="O105" s="76" t="n"/>
      <c r="P105" s="76" t="n"/>
      <c r="Q105" s="76" t="n"/>
      <c r="R105" s="76" t="n"/>
      <c r="S105" s="76" t="n"/>
      <c r="T105" s="76" t="n"/>
      <c r="U105" s="76" t="n"/>
      <c r="V105" s="76" t="n"/>
      <c r="W105" s="76" t="n"/>
      <c r="X105" s="76" t="n"/>
      <c r="Y105" s="76" t="n"/>
      <c r="Z105" s="76" t="n"/>
      <c r="AA105" s="79" t="n"/>
    </row>
    <row r="106">
      <c r="A106" s="77" t="n"/>
      <c r="B106" s="78" t="n"/>
      <c r="C106" s="58" t="n"/>
      <c r="D106" s="65" t="n"/>
      <c r="E106" s="62" t="n"/>
      <c r="F106" s="63" t="n"/>
      <c r="G106" s="60" t="n"/>
      <c r="H106" s="61" t="n"/>
      <c r="I106" s="63" t="n"/>
      <c r="J106" s="63" t="n"/>
      <c r="K106" s="62" t="n"/>
      <c r="L106" s="63" t="n"/>
      <c r="M106" s="76" t="n"/>
      <c r="N106" s="76" t="n"/>
      <c r="O106" s="76" t="n"/>
      <c r="P106" s="76" t="n"/>
      <c r="Q106" s="76" t="n"/>
      <c r="R106" s="76" t="n"/>
      <c r="S106" s="76" t="n"/>
      <c r="T106" s="76" t="n"/>
      <c r="U106" s="76" t="n"/>
      <c r="V106" s="76" t="n"/>
      <c r="W106" s="76" t="n"/>
      <c r="X106" s="76" t="n"/>
      <c r="Y106" s="76" t="n"/>
      <c r="Z106" s="76" t="n"/>
      <c r="AA106" s="79" t="n"/>
    </row>
  </sheetData>
  <autoFilter ref="$D$4:$X$98">
    <filterColumn colId="0" hiddenButton="0" showButton="1">
      <filters/>
    </filterColumn>
    <filterColumn colId="9" hiddenButton="0" showButton="1">
      <filters>
        <filter val="Not Connected"/>
        <filter val="Connected"/>
      </filters>
    </filterColumn>
  </autoFilter>
  <dataValidations count="8">
    <dataValidation sqref="W5:W99 W101:W106" showDropDown="0" showInputMessage="0" showErrorMessage="1" allowBlank="1" type="list">
      <formula1>"1,2,3,4,5,6,7,8,9,10"</formula1>
    </dataValidation>
    <dataValidation sqref="Z5:Z99 Z101:Z106" showDropDown="0" showInputMessage="0" showErrorMessage="1" allowBlank="1" type="list">
      <formula1>"Negative,Neutral,Positive"</formula1>
    </dataValidation>
    <dataValidation sqref="T5:T99 T101:T106" showDropDown="0" showInputMessage="0" showErrorMessage="1" allowBlank="1" type="list">
      <formula1>"Yes,No,Didn't check"</formula1>
    </dataValidation>
    <dataValidation sqref="R5:R99 R101:R106" showDropDown="0" showInputMessage="0" showErrorMessage="1" allowBlank="1" type="list">
      <formula1>"Yes (timely call/SMS),Contacted last moment,Didn’t contact"</formula1>
    </dataValidation>
    <dataValidation sqref="M5:M99 M101:M106" showDropDown="0" showInputMessage="0" showErrorMessage="1" allowBlank="1" type="list">
      <formula1>"Connected ,Not Connected"</formula1>
    </dataValidation>
    <dataValidation sqref="N5:N99 N101:N106" showDropDown="0" showInputMessage="0" showErrorMessage="1" allowBlank="1" type="list">
      <formula1>"Yes,No"</formula1>
    </dataValidation>
    <dataValidation sqref="O5:O99 O101:O106" showDropDown="0" showInputMessage="0" showErrorMessage="1" allowBlank="1" type="list">
      <formula1>"Yes (on time),Picked up earlier,Slightly late,Very late"</formula1>
    </dataValidation>
    <dataValidation sqref="S5:S99 S101:S106" showDropDown="0" showInputMessage="0" showErrorMessage="1" allowBlank="1" type="list">
      <formula1>"Very polite and helpful,Neutral,Rude or unprofessional,Didn’t meet"</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2025-10-21T12:50:09Z</dcterms:created>
  <dcterms:modified xsi:type="dcterms:W3CDTF">2025-10-21T12:50:09Z</dcterms:modified>
</cp:coreProperties>
</file>